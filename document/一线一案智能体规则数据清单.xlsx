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55" activeTab="1"/>
  </bookViews>
  <sheets>
    <sheet name="规则" sheetId="1" r:id="rId1"/>
    <sheet name="数据清单" sheetId="2" r:id="rId2"/>
    <sheet name="导线标准型号"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A22C2309589C4F5585CC3E1EBF449AE8"/>
        <xdr:cNvPicPr>
          <a:picLocks noChangeAspect="1"/>
        </xdr:cNvPicPr>
      </xdr:nvPicPr>
      <xdr:blipFill>
        <a:blip r:embed="rId1"/>
        <a:stretch>
          <a:fillRect/>
        </a:stretch>
      </xdr:blipFill>
      <xdr:spPr>
        <a:xfrm>
          <a:off x="19257645" y="27773630"/>
          <a:ext cx="6510655" cy="16592550"/>
        </a:xfrm>
        <a:prstGeom prst="rect">
          <a:avLst/>
        </a:prstGeom>
        <a:noFill/>
        <a:ln w="9525">
          <a:noFill/>
        </a:ln>
      </xdr:spPr>
    </xdr:pic>
  </etc:cellImage>
</etc:cellImages>
</file>

<file path=xl/comments1.xml><?xml version="1.0" encoding="utf-8"?>
<comments xmlns="http://schemas.openxmlformats.org/spreadsheetml/2006/main">
  <authors>
    <author>lc</author>
  </authors>
  <commentList>
    <comment ref="D3" authorId="0">
      <text>
        <r>
          <rPr>
            <b/>
            <sz val="9"/>
            <rFont val="宋体"/>
            <charset val="134"/>
          </rPr>
          <t>lc:</t>
        </r>
        <r>
          <rPr>
            <sz val="9"/>
            <rFont val="宋体"/>
            <charset val="134"/>
          </rPr>
          <t xml:space="preserve">
如果某线路分段用户数量不宜超过20台或装机容量超过4000kVA，则分段过少，需要在该分段增加分段开关</t>
        </r>
      </text>
    </comment>
  </commentList>
</comments>
</file>

<file path=xl/sharedStrings.xml><?xml version="1.0" encoding="utf-8"?>
<sst xmlns="http://schemas.openxmlformats.org/spreadsheetml/2006/main" count="212" uniqueCount="196">
  <si>
    <t>智能体</t>
  </si>
  <si>
    <t>一级</t>
  </si>
  <si>
    <t>二级</t>
  </si>
  <si>
    <t>诊断规则、改造规则</t>
  </si>
  <si>
    <t>、</t>
  </si>
  <si>
    <t>网架诊断智能体</t>
  </si>
  <si>
    <t>主干结构不合理</t>
  </si>
  <si>
    <t>分段过多</t>
  </si>
  <si>
    <r>
      <rPr>
        <b/>
        <sz val="11"/>
        <color theme="1"/>
        <rFont val="宋体"/>
        <charset val="134"/>
        <scheme val="minor"/>
      </rPr>
      <t>分段标准：</t>
    </r>
    <r>
      <rPr>
        <sz val="11"/>
        <color theme="1"/>
        <rFont val="宋体"/>
        <charset val="134"/>
        <scheme val="minor"/>
      </rPr>
      <t xml:space="preserve">
</t>
    </r>
    <r>
      <rPr>
        <b/>
        <sz val="11"/>
        <color theme="1"/>
        <rFont val="宋体"/>
        <charset val="134"/>
        <scheme val="minor"/>
      </rPr>
      <t>架空线路：</t>
    </r>
    <r>
      <rPr>
        <sz val="11"/>
        <color theme="1"/>
        <rFont val="宋体"/>
        <charset val="134"/>
        <scheme val="minor"/>
      </rPr>
      <t xml:space="preserve">一般分为3段，不宜超过5段
</t>
    </r>
    <r>
      <rPr>
        <b/>
        <sz val="11"/>
        <color theme="1"/>
        <rFont val="宋体"/>
        <charset val="134"/>
        <scheme val="minor"/>
      </rPr>
      <t>混合线路：</t>
    </r>
    <r>
      <rPr>
        <sz val="11"/>
        <color theme="1"/>
        <rFont val="宋体"/>
        <charset val="134"/>
        <scheme val="minor"/>
      </rPr>
      <t xml:space="preserve">电缆段不宜超过2段，架空段一般分为3段，不宜超过5段
</t>
    </r>
    <r>
      <rPr>
        <b/>
        <sz val="11"/>
        <color theme="1"/>
        <rFont val="宋体"/>
        <charset val="134"/>
        <scheme val="minor"/>
      </rPr>
      <t>混合线路分段类型判断标准：</t>
    </r>
    <r>
      <rPr>
        <sz val="11"/>
        <color theme="1"/>
        <rFont val="宋体"/>
        <charset val="134"/>
        <scheme val="minor"/>
      </rPr>
      <t xml:space="preserve">
首先根据“设备名称”来判断，分段的起点和终点同时包含“环网柜（箱）”、“配电室”、“开闭所”、“电缆”关键词，然后“设备类型”里面该分段存在较多的“电缆头”就说明分段为电缆分段。不符合的其他分段即为架空分段。
</t>
    </r>
    <r>
      <rPr>
        <b/>
        <sz val="11"/>
        <color theme="1"/>
        <rFont val="宋体"/>
        <charset val="134"/>
        <scheme val="minor"/>
      </rPr>
      <t>冗余分段：</t>
    </r>
    <r>
      <rPr>
        <sz val="11"/>
        <color theme="1"/>
        <rFont val="宋体"/>
        <charset val="134"/>
        <scheme val="minor"/>
      </rPr>
      <t xml:space="preserve">若是超过分段标准了，用户量最少或装机容量最少的为冗余分段（并且保证改分段合并后用户数量不宜超过20台和装机容量不宜超过4000kVA）。
</t>
    </r>
    <r>
      <rPr>
        <b/>
        <sz val="11"/>
        <color rgb="FFFF0000"/>
        <rFont val="宋体"/>
        <charset val="134"/>
        <scheme val="minor"/>
      </rPr>
      <t>10kv电缆线路：一条</t>
    </r>
    <r>
      <rPr>
        <sz val="11"/>
        <color rgb="FFFF0000"/>
        <rFont val="宋体"/>
        <charset val="134"/>
        <scheme val="minor"/>
      </rPr>
      <t>线路串接环网箱（室）不超5个</t>
    </r>
  </si>
  <si>
    <r>
      <rPr>
        <b/>
        <sz val="11"/>
        <color theme="1"/>
        <rFont val="宋体"/>
        <charset val="134"/>
        <scheme val="minor"/>
      </rPr>
      <t>多主干判断及拆分方法：（用于分段诊断和联络开关诊断）</t>
    </r>
    <r>
      <rPr>
        <sz val="11"/>
        <color theme="1"/>
        <rFont val="宋体"/>
        <charset val="134"/>
        <scheme val="minor"/>
      </rPr>
      <t xml:space="preserve">
1、先基于联络开关汇总表，得到诊断线路的所有对侧线路。
2、如果有 &lt; 2个对侧线路，那么只有一个主干不用拆分。
如果对侧线路数量大于等于2，有几个对侧线路就可以将main_line拆分为几个主干。
拆分方法：
（1）首先提取所有对侧线路的名称“10KV”后面“中文+数字”的关键词，存储成一个列表，如 “10kV安54新窑线” 中的“安54”。然后提取所有对侧线路的名称“10KV中文数字”后xx线中文关键词，存储成一个列表，如 “10kV安54新窑线” 中的“新窑”关键词。
（2）排除第一个分段的起点和最后一个分段的终点，按分段顺序从前往后找“起点”和“终点”中剔除“xxx变电站”后的开头在 “关键词列表1” 中的开关。符合条件的第一个开关就是第一个主干的终点。
第二个主干的开始就是第一个主干终点的下一个分段"起点"。符合条件的第二个开关就是第二个主干的终点。
第三个依次类推，注意有多少个对侧线路就可以拆分为多少个主干。
如果没有找够符合条件的开关，那就用“关键词列表2”找：按分段顺序从前往后找“起点”和“终点”中剔除“xxx变电站”后的开头在“关键词列表2”中的开关。
（3）如果有多个主干，除了第一个主干其他主干可能会有一部分分段和它之前主干重复而被省略了，需从它之前主干补充上。 用需补充主干的起点到在它之前的主干的“终点”中去匹配。找与之相同的开关到这一主干的起点就是被省略的，添加到需补充主干的前面。
（4）最后检查一下拆分的每个主干里面有没有联络开关，判断拆分的是否正确，没有联络开关就与前面的主干合并。</t>
    </r>
  </si>
  <si>
    <t>分段过少</t>
  </si>
  <si>
    <t>分段标准：
每个线路分段行用户数量不宜超过20台和装机容量不宜超过4000kVA</t>
  </si>
  <si>
    <t>分段过多、分段过少、联络过多、联络过少、无联络在拆分主干基础细分线路进行诊断</t>
  </si>
  <si>
    <t>分段不均</t>
  </si>
  <si>
    <t>分段数量&gt;=3的前提下，其中一个分段用户量&gt;=其他所有分段的和，就是分段不均</t>
  </si>
  <si>
    <t>联络不合理</t>
  </si>
  <si>
    <t>无联络</t>
  </si>
  <si>
    <r>
      <rPr>
        <b/>
        <sz val="11"/>
        <color theme="1"/>
        <rFont val="宋体"/>
        <charset val="134"/>
        <scheme val="minor"/>
      </rPr>
      <t>针对“架空”线路和“混合”线路的架空分段：</t>
    </r>
    <r>
      <rPr>
        <sz val="11"/>
        <color theme="1"/>
        <rFont val="宋体"/>
        <charset val="134"/>
        <scheme val="minor"/>
      </rPr>
      <t>都要统计多少个联络开关</t>
    </r>
    <r>
      <rPr>
        <b/>
        <sz val="11"/>
        <color theme="1"/>
        <rFont val="宋体"/>
        <charset val="134"/>
        <scheme val="minor"/>
      </rPr>
      <t xml:space="preserve">
联络原始规则：</t>
    </r>
    <r>
      <rPr>
        <sz val="11"/>
        <color theme="1"/>
        <rFont val="宋体"/>
        <charset val="134"/>
        <scheme val="minor"/>
      </rPr>
      <t xml:space="preserve">
一般不超过3个联络点，优先设置在线路末端，同一分段不超过1个联络点
</t>
    </r>
    <r>
      <rPr>
        <b/>
        <sz val="11"/>
        <color theme="1"/>
        <rFont val="宋体"/>
        <charset val="134"/>
        <scheme val="minor"/>
      </rPr>
      <t>无联络：</t>
    </r>
    <r>
      <rPr>
        <sz val="11"/>
        <color theme="1"/>
        <rFont val="宋体"/>
        <charset val="134"/>
        <scheme val="minor"/>
      </rPr>
      <t xml:space="preserve">该线路没有联络开关，输出无联络开关。
</t>
    </r>
    <r>
      <rPr>
        <b/>
        <sz val="11"/>
        <color theme="1"/>
        <rFont val="宋体"/>
        <charset val="134"/>
        <scheme val="minor"/>
      </rPr>
      <t>联络过少：</t>
    </r>
    <r>
      <rPr>
        <sz val="11"/>
        <color theme="1"/>
        <rFont val="宋体"/>
        <charset val="134"/>
        <scheme val="minor"/>
      </rPr>
      <t xml:space="preserve">A+、A线路没有联络开关个数要求，B至少有2个联络开关，C、D至少有1个联络开关
</t>
    </r>
    <r>
      <rPr>
        <b/>
        <sz val="11"/>
        <color theme="1"/>
        <rFont val="宋体"/>
        <charset val="134"/>
        <scheme val="minor"/>
      </rPr>
      <t>冗余联络：</t>
    </r>
    <r>
      <rPr>
        <sz val="11"/>
        <color theme="1"/>
        <rFont val="宋体"/>
        <charset val="134"/>
        <scheme val="minor"/>
      </rPr>
      <t>一般不超过3个联络点，优先设置在线路末端，同一分段不超过1个联络点，分段0（主干首段）存在联络开关也是冗余。主干末端存在的联络。</t>
    </r>
    <r>
      <rPr>
        <b/>
        <sz val="11"/>
        <color theme="1"/>
        <rFont val="宋体"/>
        <charset val="134"/>
        <scheme val="minor"/>
      </rPr>
      <t xml:space="preserve">
无效联络（导线选型）：（校验主干上的所有分段，分支上有联络开关的分支）
A+/A：</t>
    </r>
    <r>
      <rPr>
        <sz val="11"/>
        <color theme="1"/>
        <rFont val="宋体"/>
        <charset val="134"/>
        <scheme val="minor"/>
      </rPr>
      <t xml:space="preserve">
电缆主干线：导线截面选择 400mm²
电缆分支线：导线截面选择 400mm²
</t>
    </r>
    <r>
      <rPr>
        <b/>
        <sz val="11"/>
        <color theme="1"/>
        <rFont val="宋体"/>
        <charset val="134"/>
        <scheme val="minor"/>
      </rPr>
      <t>B：</t>
    </r>
    <r>
      <rPr>
        <sz val="11"/>
        <color theme="1"/>
        <rFont val="宋体"/>
        <charset val="134"/>
        <scheme val="minor"/>
      </rPr>
      <t xml:space="preserve">
架空线路：
架空主干线：导线截面选择 240mm²。
架空分支线：导线截面选择 240mm²。
电缆线路：
电缆主干线：导线截面选择 400mm²。
电缆分支线：导线截面选择 400mm²。
</t>
    </r>
    <r>
      <rPr>
        <b/>
        <sz val="11"/>
        <color theme="1"/>
        <rFont val="宋体"/>
        <charset val="134"/>
        <scheme val="minor"/>
      </rPr>
      <t>C:</t>
    </r>
    <r>
      <rPr>
        <sz val="11"/>
        <color theme="1"/>
        <rFont val="宋体"/>
        <charset val="134"/>
        <scheme val="minor"/>
      </rPr>
      <t xml:space="preserve">
架空线路:
架空主干线：导线截面选择 240mm²。
架空分支线：导线截面选择 240mm²。
</t>
    </r>
    <r>
      <rPr>
        <b/>
        <sz val="11"/>
        <color theme="1"/>
        <rFont val="宋体"/>
        <charset val="134"/>
        <scheme val="minor"/>
      </rPr>
      <t>D:</t>
    </r>
    <r>
      <rPr>
        <sz val="11"/>
        <color theme="1"/>
        <rFont val="宋体"/>
        <charset val="134"/>
        <scheme val="minor"/>
      </rPr>
      <t xml:space="preserve">
架空主干线：导线截面选择 240mm²。
架空分支线：导线截面优先选择 240mm²，</t>
    </r>
    <r>
      <rPr>
        <strike/>
        <sz val="11"/>
        <color theme="1"/>
        <rFont val="宋体"/>
        <charset val="134"/>
        <scheme val="minor"/>
      </rPr>
      <t xml:space="preserve">无负荷增长空间及分布式电源接入需求的区域分支线导线截面可选择 150mm²。
</t>
    </r>
    <r>
      <rPr>
        <sz val="11"/>
        <color theme="1"/>
        <rFont val="宋体"/>
        <charset val="134"/>
        <scheme val="minor"/>
      </rPr>
      <t xml:space="preserve">
</t>
    </r>
    <r>
      <rPr>
        <b/>
        <sz val="11"/>
        <color theme="1"/>
        <rFont val="宋体"/>
        <charset val="134"/>
        <scheme val="minor"/>
      </rPr>
      <t xml:space="preserve">缺失规则：A+/A按照B的架空规则来，C/D按照B的电缆规则来。
</t>
    </r>
    <r>
      <rPr>
        <b/>
        <sz val="11"/>
        <color rgb="FFC00000"/>
        <rFont val="宋体"/>
        <charset val="134"/>
        <scheme val="minor"/>
      </rPr>
      <t>无效联络问题和建议拆分开来，遇到（如LGJ等）裸导线在规划建议中推荐进行绝缘化改造。</t>
    </r>
  </si>
  <si>
    <r>
      <rPr>
        <sz val="11"/>
        <color theme="1"/>
        <rFont val="宋体"/>
        <charset val="134"/>
        <scheme val="minor"/>
      </rPr>
      <t xml:space="preserve"># 电缆线
cable_lineList = [
    # 交联聚乙烯绝缘电力电缆 (最常见的主力型号)
    'YJV', 'YJLV', 'YJV22', 'YJLV22', 'YJV23', 'YJY', 'YJLY', 
    # 聚氯乙烯绝缘电力电缆 (逐渐被交联聚乙烯替代)
    'VV', 'VLV', 'VV22', 'VLV22',
    # 布电线/硬线 (家用、室内穿管)
    'BV', 'BVR', 'BVV', 
    # 橡套电缆 (移动设备、柔软)
    'YC', 'YZ', 
    # 阻燃/耐火电缆 (特殊场合)
    'ZR-YJV', 'NH-YJV', 
    # 铝护套/特种电缆
    'YJLW02', 'YJLLW02', 
    # 控制电缆
    'KVV', 'KYJV'
]
# 架空线
aerial_lineList = [
    # 裸导线/绞线 (无绝缘，纯金属丝绞合)
    'LGJ', 'LJ', 'GJ', 'TJ', 'ACSR', 
    # 架空**绝缘**电缆 (带有“JK”前缀)
    'JKLYJ', 'JKLGYJ', 'JKYJ', 'JKTRYJ', 'JKLHYJ', 
    # 其它以“J”开头的常见架空型号
    'JL', 'JL/G1A', 
    # 关键词“JK”单独列出，用于匹配变体
    'JK'
]
</t>
    </r>
    <r>
      <rPr>
        <b/>
        <sz val="11"/>
        <color theme="1"/>
        <rFont val="宋体"/>
        <charset val="134"/>
        <scheme val="minor"/>
      </rPr>
      <t>根据两个关键词列表，一个分段中哪个导线类型多就算作什么分类（电缆、架空）</t>
    </r>
  </si>
  <si>
    <t>联络过少</t>
  </si>
  <si>
    <t>冗余联络（屏蔽电缆的03母联开关）</t>
  </si>
  <si>
    <t>无效联络：
导线截面不合规</t>
  </si>
  <si>
    <t>无效联络：
同母自环</t>
  </si>
  <si>
    <r>
      <rPr>
        <b/>
        <sz val="11"/>
        <color rgb="FFFF0000"/>
        <rFont val="宋体"/>
        <charset val="134"/>
        <scheme val="minor"/>
      </rPr>
      <t>根据线路名称判断10kv后，中文+第一个数字都一致的是同变电站同母线，中文一致第一个数字不一致的是同变电站不同母线</t>
    </r>
    <r>
      <rPr>
        <b/>
        <sz val="11"/>
        <rFont val="宋体"/>
        <charset val="134"/>
        <scheme val="minor"/>
      </rPr>
      <t>（分段归属线路根据主线（2）数据确定）</t>
    </r>
    <r>
      <rPr>
        <b/>
        <sz val="11"/>
        <color rgb="FFFF0000"/>
        <rFont val="宋体"/>
        <charset val="134"/>
        <scheme val="minor"/>
      </rPr>
      <t>：
同变电站同母线：该线路存在同母线自环联络，建议改造优化。
大分支联络：当前线路的大分支联络开关对侧线路为自己，建议改造优化。（有方案侨翊验证是否能做）</t>
    </r>
  </si>
  <si>
    <t>在完成多主干拆分后，该线路每个主干的第一个分段起点开关和最后分段终点开关是否匹配，匹配规则为上述起点和终点都剔除开头存在的xxx变电站后 前两个字符是否相等</t>
  </si>
  <si>
    <t>分支结构不合理</t>
  </si>
  <si>
    <t>大分支清单</t>
  </si>
  <si>
    <r>
      <rPr>
        <sz val="11"/>
        <color theme="1"/>
        <rFont val="宋体"/>
        <charset val="134"/>
        <scheme val="minor"/>
      </rPr>
      <t>大分支判断标准：
A+、A、B 类区域</t>
    </r>
    <r>
      <rPr>
        <strike/>
        <sz val="11"/>
        <color theme="1"/>
        <rFont val="宋体"/>
        <charset val="134"/>
        <scheme val="minor"/>
      </rPr>
      <t xml:space="preserve">配变装接总容量超过 3000kVA、长度超过 2km </t>
    </r>
    <r>
      <rPr>
        <sz val="11"/>
        <color theme="1"/>
        <rFont val="宋体"/>
        <charset val="134"/>
        <scheme val="minor"/>
      </rPr>
      <t>或高压用户数量超过 5 户的分支线路
C、D 类区域</t>
    </r>
    <r>
      <rPr>
        <strike/>
        <sz val="11"/>
        <color theme="1"/>
        <rFont val="宋体"/>
        <charset val="134"/>
        <scheme val="minor"/>
      </rPr>
      <t xml:space="preserve">配变装接总容量超过 1500kVA、长度超过 4km </t>
    </r>
    <r>
      <rPr>
        <sz val="11"/>
        <color theme="1"/>
        <rFont val="宋体"/>
        <charset val="134"/>
        <scheme val="minor"/>
      </rPr>
      <t>或高压用户数量超过 3 户的分支线路</t>
    </r>
  </si>
  <si>
    <t>大分支首端开关</t>
  </si>
  <si>
    <t>大分支首端是否为开关，是否为自动化开关</t>
  </si>
  <si>
    <t>大分支分段开关</t>
  </si>
  <si>
    <t>A+、A、B 类区域用户量超过10户、C、D超过6户要加大分支分段开关，该分段开关能够均分用户量。
输出：&lt;起点开关&gt;大分支用户量为xx户（超10/6户），需要添加分段开关均分用户量。</t>
  </si>
  <si>
    <t>大分支末端联络</t>
  </si>
  <si>
    <t>判断大分支线路末端是否是联络开关：B及以上超过10户需末端联络，CD超过6户需末端联络。</t>
  </si>
  <si>
    <t>10户及以上加分段和联络，超20户建议切改</t>
  </si>
  <si>
    <t>馈线自动化不足</t>
  </si>
  <si>
    <t>A+</t>
  </si>
  <si>
    <r>
      <rPr>
        <b/>
        <sz val="11"/>
        <color theme="1"/>
        <rFont val="宋体"/>
        <charset val="134"/>
        <scheme val="minor"/>
      </rPr>
      <t xml:space="preserve">## 电缆
</t>
    </r>
    <r>
      <rPr>
        <sz val="11"/>
        <color theme="1"/>
        <rFont val="宋体"/>
        <charset val="134"/>
        <scheme val="minor"/>
      </rPr>
      <t>电缆双环网：开关站全部实现“三遥”功能。双环网联络点所在站室实现“三遥”功能，联络点两侧线路中段各有 1 个站室实现“三遥”功能。
电缆单环网：开关站全部实现“三遥”功能。单环网全部站室实现“三遥”功能。
电缆双射/对射/单射：开关站全部实现“三遥”功能。从变电站（开关站）出线至供电末端至少选择一个重要分段位置站室实现“三遥”功能。</t>
    </r>
    <r>
      <rPr>
        <b/>
        <sz val="11"/>
        <color theme="1"/>
        <rFont val="宋体"/>
        <charset val="134"/>
        <scheme val="minor"/>
      </rPr>
      <t xml:space="preserve">
## 架空
</t>
    </r>
    <r>
      <rPr>
        <sz val="11"/>
        <color theme="1"/>
        <rFont val="宋体"/>
        <charset val="134"/>
        <scheme val="minor"/>
      </rPr>
      <t>架空线路：架空全部分段（架混主要分段）、联络开关实现“三遥”功能。</t>
    </r>
  </si>
  <si>
    <r>
      <rPr>
        <sz val="11"/>
        <color rgb="FFFF0000"/>
        <rFont val="宋体"/>
        <charset val="134"/>
        <scheme val="minor"/>
      </rPr>
      <t xml:space="preserve">关键节点：（实现自动化功能）
1、所有联络开关。
2、主环上的全部开关站（关键词：开闭所）
3、挂接大分支的环网箱（首先找到为环网柜的大分支起点，提取“xxx#环网柜”，到主线的起点、终点匹配，匹配到的就要改为自动化开关）
4、分段数量均分点附近开关（用户量均分）
5、大分支分支开关
</t>
    </r>
    <r>
      <rPr>
        <b/>
        <sz val="11"/>
        <color rgb="FFFF0000"/>
        <rFont val="宋体"/>
        <charset val="134"/>
        <scheme val="minor"/>
      </rPr>
      <t>（2、3点生成规划建议时联动分段：先完成分段，在新分段的基础上进行自动化改造）</t>
    </r>
  </si>
  <si>
    <t>A</t>
  </si>
  <si>
    <r>
      <rPr>
        <b/>
        <sz val="11"/>
        <color theme="1"/>
        <rFont val="宋体"/>
        <charset val="134"/>
        <scheme val="minor"/>
      </rPr>
      <t xml:space="preserve">## 电缆
</t>
    </r>
    <r>
      <rPr>
        <sz val="11"/>
        <color theme="1"/>
        <rFont val="宋体"/>
        <charset val="134"/>
        <scheme val="minor"/>
      </rPr>
      <t>电缆双环网：开关站全部实现“三遥”功能。双环网联络点所在站室实现“三遥”功能，联络点两侧线路中段各有 1 个站室实现“三遥”功能。
电缆单环网：开关站全部实现“三遥”功能。双环网联络点所在站室实现“三遥”功能，联络点两侧线路中段各有 1 个站室实现“三遥”功能。
电缆双射/对射/单射：开关站全部实现“三遥”功能。从变电站（开关站）出线至供电末端至少选择一个重要分段位置站室实现“三遥”功能。</t>
    </r>
    <r>
      <rPr>
        <b/>
        <sz val="11"/>
        <color theme="1"/>
        <rFont val="宋体"/>
        <charset val="134"/>
        <scheme val="minor"/>
      </rPr>
      <t xml:space="preserve">
## 架空
</t>
    </r>
    <r>
      <rPr>
        <sz val="11"/>
        <color theme="1"/>
        <rFont val="宋体"/>
        <charset val="134"/>
        <scheme val="minor"/>
      </rPr>
      <t>架空线路：架空全部分段（架混主要分段）、联络开关实现“三遥”功能。</t>
    </r>
  </si>
  <si>
    <t>架混主要分段</t>
  </si>
  <si>
    <t>B</t>
  </si>
  <si>
    <r>
      <rPr>
        <b/>
        <sz val="11"/>
        <color theme="1"/>
        <rFont val="宋体"/>
        <charset val="134"/>
        <scheme val="minor"/>
      </rPr>
      <t xml:space="preserve">## 电缆
</t>
    </r>
    <r>
      <rPr>
        <sz val="11"/>
        <color theme="1"/>
        <rFont val="宋体"/>
        <charset val="134"/>
        <scheme val="minor"/>
      </rPr>
      <t>电缆双环网：开关站全部实现“三遥”功能。双环网联络点所在站室实现“三遥”功能，联络点两侧线路中段各有1个站室具备“三遥”功能。
电缆单环网：开关站全部实现“三遥”功能。单环网所有站室应具备“三遥”功能。
电缆双射/对射/单射：开关站全部实现“三遥”功能。从变电站（开关站）出线至供电末端至少选择一个重要分段位置站室实现“三遥”功能。</t>
    </r>
    <r>
      <rPr>
        <b/>
        <sz val="11"/>
        <color theme="1"/>
        <rFont val="宋体"/>
        <charset val="134"/>
        <scheme val="minor"/>
      </rPr>
      <t xml:space="preserve">
## 架空
</t>
    </r>
    <r>
      <rPr>
        <sz val="11"/>
        <color theme="1"/>
        <rFont val="宋体"/>
        <charset val="134"/>
        <scheme val="minor"/>
      </rPr>
      <t>架空线路：至少2个分段开关、1 个联络开关、大分支线路首端开关、大专变用户分界开关、中压分布式光伏接入点并网开关实现“三遥”功能。线路长度小于 5 或大于10公里，可适当减少或增加“三遥”分段开关。</t>
    </r>
  </si>
  <si>
    <t>C</t>
  </si>
  <si>
    <t>D</t>
  </si>
  <si>
    <r>
      <rPr>
        <b/>
        <sz val="11"/>
        <color theme="1"/>
        <rFont val="宋体"/>
        <charset val="134"/>
        <scheme val="minor"/>
      </rPr>
      <t xml:space="preserve">## 电缆
</t>
    </r>
    <r>
      <rPr>
        <sz val="11"/>
        <color theme="1"/>
        <rFont val="宋体"/>
        <charset val="134"/>
        <scheme val="minor"/>
      </rPr>
      <t>电缆双环网：开关站全部实现“三遥”功能。双环网联络点所在站室实现“三遥”功能，联络点两侧线路中段各有1个站室具备“三遥”功能。
电缆单环网：开关站全部实现“三遥”功能。单环网所有站室应具备“三遥”功能。
电缆双射/对射/单射：开关站全部实现“三遥”功能。从变电站（开关站）出线至供电末端至少选择一个重要分段位置站室实现“三遥”功能。</t>
    </r>
    <r>
      <rPr>
        <b/>
        <sz val="11"/>
        <color theme="1"/>
        <rFont val="宋体"/>
        <charset val="134"/>
        <scheme val="minor"/>
      </rPr>
      <t xml:space="preserve">
## 架空
</t>
    </r>
    <r>
      <rPr>
        <sz val="11"/>
        <color theme="1"/>
        <rFont val="宋体"/>
        <charset val="134"/>
        <scheme val="minor"/>
      </rPr>
      <t>架空线路：至少有2个分段开关、大分支线路首端开关、大专变用户分界开关、中压分布式光伏接入点并网开关，实现“三遥”功能。线路长度小于5或大于10公里，可适当减少或增加“三遥”分段开关。</t>
    </r>
  </si>
  <si>
    <t>装机配变不合理</t>
  </si>
  <si>
    <t>装机配变数量过多</t>
  </si>
  <si>
    <r>
      <rPr>
        <b/>
        <sz val="11"/>
        <color theme="1"/>
        <rFont val="宋体"/>
        <charset val="134"/>
        <scheme val="minor"/>
      </rPr>
      <t>架空：</t>
    </r>
    <r>
      <rPr>
        <sz val="11"/>
        <color theme="1"/>
        <rFont val="宋体"/>
        <charset val="134"/>
        <scheme val="minor"/>
      </rPr>
      <t>多分段</t>
    </r>
    <r>
      <rPr>
        <b/>
        <sz val="11"/>
        <color theme="1"/>
        <rFont val="宋体"/>
        <charset val="134"/>
        <scheme val="minor"/>
      </rPr>
      <t>单联络</t>
    </r>
    <r>
      <rPr>
        <sz val="11"/>
        <color theme="1"/>
        <rFont val="宋体"/>
        <charset val="134"/>
        <scheme val="minor"/>
      </rPr>
      <t>、</t>
    </r>
    <r>
      <rPr>
        <b/>
        <sz val="11"/>
        <color theme="1"/>
        <rFont val="宋体"/>
        <charset val="134"/>
        <scheme val="minor"/>
      </rPr>
      <t>两联络</t>
    </r>
    <r>
      <rPr>
        <sz val="11"/>
        <color theme="1"/>
        <rFont val="宋体"/>
        <charset val="134"/>
        <scheme val="minor"/>
      </rPr>
      <t>及</t>
    </r>
    <r>
      <rPr>
        <b/>
        <sz val="11"/>
        <color theme="1"/>
        <rFont val="宋体"/>
        <charset val="134"/>
        <scheme val="minor"/>
      </rPr>
      <t>三联络</t>
    </r>
    <r>
      <rPr>
        <sz val="11"/>
        <color theme="1"/>
        <rFont val="宋体"/>
        <charset val="134"/>
        <scheme val="minor"/>
      </rPr>
      <t>接线，线路的装接配变容量不宜超过</t>
    </r>
    <r>
      <rPr>
        <b/>
        <sz val="11"/>
        <color theme="1"/>
        <rFont val="宋体"/>
        <charset val="134"/>
        <scheme val="minor"/>
      </rPr>
      <t>9MVA</t>
    </r>
    <r>
      <rPr>
        <sz val="11"/>
        <color theme="1"/>
        <rFont val="宋体"/>
        <charset val="134"/>
        <scheme val="minor"/>
      </rPr>
      <t>、</t>
    </r>
    <r>
      <rPr>
        <b/>
        <sz val="11"/>
        <color theme="1"/>
        <rFont val="宋体"/>
        <charset val="134"/>
        <scheme val="minor"/>
      </rPr>
      <t>12MVA</t>
    </r>
    <r>
      <rPr>
        <sz val="11"/>
        <color theme="1"/>
        <rFont val="宋体"/>
        <charset val="134"/>
        <scheme val="minor"/>
      </rPr>
      <t>及</t>
    </r>
    <r>
      <rPr>
        <b/>
        <sz val="11"/>
        <color theme="1"/>
        <rFont val="宋体"/>
        <charset val="134"/>
        <scheme val="minor"/>
      </rPr>
      <t>13.5MVA</t>
    </r>
    <r>
      <rPr>
        <sz val="11"/>
        <color theme="1"/>
        <rFont val="宋体"/>
        <charset val="134"/>
        <scheme val="minor"/>
      </rPr>
      <t>，装接配变台数不宜超过</t>
    </r>
    <r>
      <rPr>
        <b/>
        <sz val="11"/>
        <color theme="1"/>
        <rFont val="宋体"/>
        <charset val="134"/>
        <scheme val="minor"/>
      </rPr>
      <t>60台、60台、65台
电缆：</t>
    </r>
    <r>
      <rPr>
        <sz val="11"/>
        <color theme="1"/>
        <rFont val="宋体"/>
        <charset val="134"/>
        <scheme val="minor"/>
      </rPr>
      <t>装接配变容量不宜超过</t>
    </r>
    <r>
      <rPr>
        <b/>
        <sz val="11"/>
        <color theme="1"/>
        <rFont val="宋体"/>
        <charset val="134"/>
        <scheme val="minor"/>
      </rPr>
      <t>8MVA</t>
    </r>
    <r>
      <rPr>
        <sz val="11"/>
        <color theme="1"/>
        <rFont val="宋体"/>
        <charset val="134"/>
        <scheme val="minor"/>
      </rPr>
      <t>，装接配变台数不宜超过</t>
    </r>
    <r>
      <rPr>
        <b/>
        <sz val="11"/>
        <color theme="1"/>
        <rFont val="宋体"/>
        <charset val="134"/>
        <scheme val="minor"/>
      </rPr>
      <t>25台
混合：</t>
    </r>
    <r>
      <rPr>
        <sz val="11"/>
        <color theme="1"/>
        <rFont val="宋体"/>
        <charset val="134"/>
        <scheme val="minor"/>
      </rPr>
      <t xml:space="preserve">根据哪个类型的分段多，就按照哪个（架空、电缆）的标准。
</t>
    </r>
    <r>
      <rPr>
        <b/>
        <sz val="11"/>
        <color theme="1"/>
        <rFont val="宋体"/>
        <charset val="134"/>
        <scheme val="minor"/>
      </rPr>
      <t>输出：</t>
    </r>
    <r>
      <rPr>
        <sz val="11"/>
        <color theme="1"/>
        <rFont val="宋体"/>
        <charset val="134"/>
        <scheme val="minor"/>
      </rPr>
      <t>整线挂接用户数量超过导则规定。</t>
    </r>
  </si>
  <si>
    <t>装机配变容量过多</t>
  </si>
  <si>
    <t>（在用户数不超标的情况下才考虑）</t>
  </si>
  <si>
    <t>设备诊断智能体</t>
  </si>
  <si>
    <t>设备缺陷</t>
  </si>
  <si>
    <t>设备老旧</t>
  </si>
  <si>
    <r>
      <rPr>
        <b/>
        <sz val="11"/>
        <color theme="1"/>
        <rFont val="宋体"/>
        <charset val="134"/>
        <scheme val="minor"/>
      </rPr>
      <t>缺陷类：2024-2026年技改大修项目</t>
    </r>
    <r>
      <rPr>
        <sz val="11"/>
        <color theme="1"/>
        <rFont val="宋体"/>
        <charset val="134"/>
        <scheme val="minor"/>
      </rPr>
      <t>，通过知识库检索+线路关键词核验找到对应线路设备问题记录。</t>
    </r>
    <r>
      <rPr>
        <b/>
        <sz val="11"/>
        <color theme="1"/>
        <rFont val="宋体"/>
        <charset val="134"/>
        <scheme val="minor"/>
      </rPr>
      <t xml:space="preserve">
隐患类：</t>
    </r>
    <r>
      <rPr>
        <sz val="11"/>
        <color theme="1"/>
        <rFont val="宋体"/>
        <charset val="134"/>
        <scheme val="minor"/>
      </rPr>
      <t>基于设备名称去PMS缺陷清单中匹配，只关注设备</t>
    </r>
    <r>
      <rPr>
        <b/>
        <sz val="11"/>
        <color theme="1"/>
        <rFont val="宋体"/>
        <charset val="134"/>
        <scheme val="minor"/>
      </rPr>
      <t>非运维缺陷</t>
    </r>
    <r>
      <rPr>
        <sz val="11"/>
        <color theme="1"/>
        <rFont val="宋体"/>
        <charset val="134"/>
        <scheme val="minor"/>
      </rPr>
      <t>，及缺陷描述中存在</t>
    </r>
    <r>
      <rPr>
        <b/>
        <sz val="11"/>
        <color theme="1"/>
        <rFont val="宋体"/>
        <charset val="134"/>
        <scheme val="minor"/>
      </rPr>
      <t>“潮湿”</t>
    </r>
    <r>
      <rPr>
        <sz val="11"/>
        <color theme="1"/>
        <rFont val="宋体"/>
        <charset val="134"/>
        <scheme val="minor"/>
      </rPr>
      <t>“</t>
    </r>
    <r>
      <rPr>
        <b/>
        <sz val="11"/>
        <color theme="1"/>
        <rFont val="宋体"/>
        <charset val="134"/>
        <scheme val="minor"/>
      </rPr>
      <t>凝霜</t>
    </r>
    <r>
      <rPr>
        <sz val="11"/>
        <color theme="1"/>
        <rFont val="宋体"/>
        <charset val="134"/>
        <scheme val="minor"/>
      </rPr>
      <t xml:space="preserve">”的隐患。   匹配拿到缺陷部位、缺陷描述、缺陷区段（设备名称）等，生成统计表格及总结。
</t>
    </r>
    <r>
      <rPr>
        <b/>
        <sz val="11"/>
        <color theme="1"/>
        <rFont val="宋体"/>
        <charset val="134"/>
        <scheme val="minor"/>
      </rPr>
      <t>老旧变压器（拼接到缺陷类）：</t>
    </r>
    <r>
      <rPr>
        <sz val="11"/>
        <color theme="1"/>
        <rFont val="宋体"/>
        <charset val="134"/>
        <scheme val="minor"/>
      </rPr>
      <t>变压器型号S7和S9的是老旧变压器，台账里还有很多比较少见的型号暂时先不做区分；运行超20年的变压器也是老旧变压器，两者取并集就行</t>
    </r>
  </si>
  <si>
    <t>设备凝露</t>
  </si>
  <si>
    <t>同源问题诊断</t>
  </si>
  <si>
    <t>同源问题</t>
  </si>
  <si>
    <t>同源维护</t>
  </si>
  <si>
    <r>
      <rPr>
        <b/>
        <sz val="11"/>
        <color theme="1"/>
        <rFont val="宋体"/>
        <charset val="134"/>
        <scheme val="minor"/>
      </rPr>
      <t>系统改造前原本的规则：（可算/不可算）</t>
    </r>
    <r>
      <rPr>
        <sz val="11"/>
        <color theme="1"/>
        <rFont val="宋体"/>
        <charset val="134"/>
        <scheme val="minor"/>
      </rPr>
      <t xml:space="preserve">
线路分段中用户数量不为0，但装机容量为0时，输出该分段变压器同源维护存在问题
线路分段中长度若为0，输出该分段线路同源维护存在问题
如果线路的异常超过20%。输出：xx线路同源数据存在问题，由xx公司xx班组进行维护。
问题描述中需要定位具体的分段吗   在问题描述中表述什么</t>
    </r>
  </si>
  <si>
    <t>非标准线路型号</t>
  </si>
  <si>
    <t>基于标准线路型号清单列表， 在清单内的就是非标准线路型号
问题描述：</t>
  </si>
  <si>
    <r>
      <rPr>
        <sz val="11"/>
        <color theme="1"/>
        <rFont val="宋体"/>
        <charset val="134"/>
        <scheme val="minor"/>
      </rPr>
      <t xml:space="preserve">标准的设备型号：
</t>
    </r>
    <r>
      <rPr>
        <sz val="11"/>
        <color rgb="FFFF0000"/>
        <rFont val="宋体"/>
        <charset val="134"/>
        <scheme val="minor"/>
      </rPr>
      <t>国家电网有限公司配电网工程典型设计（2024 版）</t>
    </r>
  </si>
  <si>
    <t>非标准开关命名</t>
  </si>
  <si>
    <t>基于命名规则   命名不标准</t>
  </si>
  <si>
    <r>
      <rPr>
        <sz val="11"/>
        <color theme="1"/>
        <rFont val="宋体"/>
        <charset val="134"/>
        <scheme val="minor"/>
      </rPr>
      <t xml:space="preserve">标准命名规则：
</t>
    </r>
    <r>
      <rPr>
        <sz val="11"/>
        <color rgb="FFFF0000"/>
        <rFont val="宋体"/>
        <charset val="134"/>
        <scheme val="minor"/>
      </rPr>
      <t>3、鄂电司调〔2022〕18号 国网湖北省电力有限公司关于印发《湖北电网主要设备调度命名规则》通知</t>
    </r>
  </si>
  <si>
    <t>侨翊成图问题</t>
  </si>
  <si>
    <t>侨翊接口没返回简化SVG图、EXCEl统计数据，若是数据问题要返回错误原因</t>
  </si>
  <si>
    <t>网架问题改造方案</t>
  </si>
  <si>
    <t>自动化改造</t>
  </si>
  <si>
    <t>新建/更换/迁移10千伏XX线#XX杆、XX支线#XX杆自动化柱上开关XX台、开关柜XX座、环网柜XX座，解决此线路自动化开关缺陷及馈线自动化覆盖率不足的问题。</t>
  </si>
  <si>
    <r>
      <rPr>
        <b/>
        <sz val="11"/>
        <color theme="1"/>
        <rFont val="宋体"/>
        <charset val="134"/>
        <scheme val="minor"/>
      </rPr>
      <t xml:space="preserve">自动化开关改造：（基于问题诊断结果、侨翊统计EXCEL主线（2））
</t>
    </r>
    <r>
      <rPr>
        <sz val="11"/>
        <color theme="1"/>
        <rFont val="宋体"/>
        <charset val="134"/>
        <scheme val="minor"/>
      </rPr>
      <t>推荐更换10千伏XX线#XX杆、XX支线#XX杆自动化柱上xxx开关、xxx开关柜、xxx环网柜，解决此线路自动化开关缺陷及馈线自动化覆盖率不足的问题。</t>
    </r>
  </si>
  <si>
    <t>线路改造</t>
  </si>
  <si>
    <t>改造10千伏XX线主干线#XX杆-#XX杆、XX支线#XX杆-#XX杆、XX支线#XX杆-#XX杆，共计XX公里，解决此线路高故障、高时户数、非标准化问题。</t>
  </si>
  <si>
    <r>
      <rPr>
        <b/>
        <sz val="11"/>
        <color rgb="FFFF0000"/>
        <rFont val="宋体"/>
        <charset val="134"/>
        <scheme val="minor"/>
      </rPr>
      <t>（讨论，涉及新增的位置要不要确定到杆，怎么确定。需要信息，）</t>
    </r>
    <r>
      <rPr>
        <b/>
        <sz val="11"/>
        <color theme="1"/>
        <rFont val="宋体"/>
        <charset val="134"/>
        <scheme val="minor"/>
      </rPr>
      <t xml:space="preserve">
分段过多：
</t>
    </r>
    <r>
      <rPr>
        <sz val="11"/>
        <color theme="1"/>
        <rFont val="宋体"/>
        <charset val="134"/>
        <scheme val="minor"/>
      </rPr>
      <t xml:space="preserve">推荐移除10千伏XX线#XX杆、XX支线#XX杆的xxx分段开关。
</t>
    </r>
    <r>
      <rPr>
        <b/>
        <sz val="11"/>
        <color theme="1"/>
        <rFont val="宋体"/>
        <charset val="134"/>
        <scheme val="minor"/>
      </rPr>
      <t>分段过少:</t>
    </r>
    <r>
      <rPr>
        <b/>
        <sz val="11"/>
        <color rgb="FFFF0000"/>
        <rFont val="宋体"/>
        <charset val="134"/>
        <scheme val="minor"/>
      </rPr>
      <t>（具体到杆，添加的分段开关能够均分用户量，使用户量在20以下）</t>
    </r>
    <r>
      <rPr>
        <b/>
        <sz val="11"/>
        <color theme="1"/>
        <rFont val="宋体"/>
        <charset val="134"/>
        <scheme val="minor"/>
      </rPr>
      <t xml:space="preserve">
</t>
    </r>
    <r>
      <rPr>
        <sz val="11"/>
        <color theme="1"/>
        <rFont val="宋体"/>
        <charset val="134"/>
        <scheme val="minor"/>
      </rPr>
      <t xml:space="preserve">推荐在10千伏XX线#XX杆、XX支线#XX杆添加分段开关。
环网柜过多：
推荐将xxx、xxx切改出去。
</t>
    </r>
    <r>
      <rPr>
        <b/>
        <sz val="11"/>
        <color theme="1"/>
        <rFont val="宋体"/>
        <charset val="134"/>
        <scheme val="minor"/>
      </rPr>
      <t>无联络、联络过少：</t>
    </r>
    <r>
      <rPr>
        <b/>
        <sz val="11"/>
        <color rgb="FFFF0000"/>
        <rFont val="宋体"/>
        <charset val="134"/>
        <scheme val="minor"/>
      </rPr>
      <t>（加在用户数量多的分段中。电缆线路：加在为“环网箱”的终点上，存在备用间隔。架空线路：均分用户数的杆上）</t>
    </r>
    <r>
      <rPr>
        <b/>
        <sz val="11"/>
        <color theme="1"/>
        <rFont val="宋体"/>
        <charset val="134"/>
        <scheme val="minor"/>
      </rPr>
      <t xml:space="preserve">
</t>
    </r>
    <r>
      <rPr>
        <sz val="11"/>
        <color theme="1"/>
        <rFont val="宋体"/>
        <charset val="134"/>
        <scheme val="minor"/>
      </rPr>
      <t>推荐在10千伏XX线#XX杆、XX支线#XX杆添加联络开关。</t>
    </r>
    <r>
      <rPr>
        <b/>
        <sz val="11"/>
        <color theme="1"/>
        <rFont val="宋体"/>
        <charset val="134"/>
        <scheme val="minor"/>
      </rPr>
      <t xml:space="preserve">
冗余联络：
</t>
    </r>
    <r>
      <rPr>
        <sz val="11"/>
        <color theme="1"/>
        <rFont val="宋体"/>
        <charset val="134"/>
        <scheme val="minor"/>
      </rPr>
      <t xml:space="preserve">推荐移除10千伏XX线#XX杆、XX支线#XX杆的联络开关。
</t>
    </r>
    <r>
      <rPr>
        <b/>
        <sz val="11"/>
        <color theme="1"/>
        <rFont val="宋体"/>
        <charset val="134"/>
        <scheme val="minor"/>
      </rPr>
      <t xml:space="preserve">无效联络：
</t>
    </r>
    <r>
      <rPr>
        <sz val="11"/>
        <color theme="1"/>
        <rFont val="宋体"/>
        <charset val="134"/>
        <scheme val="minor"/>
      </rPr>
      <t xml:space="preserve">推荐将xxx-xxx分段内的架空（电缆）导线改为截面为240(400)mm²的标准导线。
</t>
    </r>
    <r>
      <rPr>
        <b/>
        <sz val="11"/>
        <color theme="1"/>
        <rFont val="宋体"/>
        <charset val="134"/>
        <scheme val="minor"/>
      </rPr>
      <t xml:space="preserve">大分支缺少首端开关： （添加大分支分支开关在所有挂接用户的杆之前没有用户挂接的杆上添加自动化开关，不能是大分支起点）
</t>
    </r>
    <r>
      <rPr>
        <sz val="11"/>
        <color theme="1"/>
        <rFont val="宋体"/>
        <charset val="134"/>
        <scheme val="minor"/>
      </rPr>
      <t xml:space="preserve">推荐在XX线XX-XX分支XX杆添加自动化开关。
</t>
    </r>
    <r>
      <rPr>
        <b/>
        <sz val="11"/>
        <color theme="1"/>
        <rFont val="宋体"/>
        <charset val="134"/>
        <scheme val="minor"/>
      </rPr>
      <t>大分支首端开关非自动化：</t>
    </r>
    <r>
      <rPr>
        <sz val="11"/>
        <color theme="1"/>
        <rFont val="宋体"/>
        <charset val="134"/>
        <scheme val="minor"/>
      </rPr>
      <t xml:space="preserve">
推荐对xxx杆上的xxx（开关）进行自动化改造，解决此线路自动化开关缺陷及馈线自动化覆盖率不足的问题。</t>
    </r>
    <r>
      <rPr>
        <b/>
        <sz val="11"/>
        <color theme="1"/>
        <rFont val="宋体"/>
        <charset val="134"/>
        <scheme val="minor"/>
      </rPr>
      <t xml:space="preserve">
大分支缺少分段开关：（A+、A、B 类区域用户量超过10户（5的倍数-1个分段开关，最多添加三个，超20户建议切改），C、D超过6户要加大分支分段开关（3的倍数-1个分段开关，最多添加三个，超12户建议切改），添加在能够均分用户量的杆上）
</t>
    </r>
    <r>
      <rPr>
        <sz val="11"/>
        <color theme="1"/>
        <rFont val="宋体"/>
        <charset val="134"/>
        <scheme val="minor"/>
      </rPr>
      <t>推荐XX线XX-XX支线XX杆、XX杆、……添加分段开关。
XX线XX-XX支线用户数量超过20户（12户），推荐切改用户。</t>
    </r>
    <r>
      <rPr>
        <b/>
        <sz val="11"/>
        <color theme="1"/>
        <rFont val="宋体"/>
        <charset val="134"/>
        <scheme val="minor"/>
      </rPr>
      <t xml:space="preserve">
大分支缺少末端联络：（在大分支末端所有挂接用户的杆后面没有用户的杆上添加联络开关）
</t>
    </r>
    <r>
      <rPr>
        <sz val="11"/>
        <color theme="1"/>
        <rFont val="宋体"/>
        <charset val="134"/>
        <scheme val="minor"/>
      </rPr>
      <t>推荐在XX线XX-XX支线XX杆添加联络开关。</t>
    </r>
  </si>
  <si>
    <t>添加分段开关的都是在两个杆之间是一个范围</t>
  </si>
  <si>
    <t>系统</t>
  </si>
  <si>
    <t>数据清单</t>
  </si>
  <si>
    <t>描述</t>
  </si>
  <si>
    <t>应用场景</t>
  </si>
  <si>
    <t>是否接入</t>
  </si>
  <si>
    <t>接入方法</t>
  </si>
  <si>
    <t>同源系统</t>
  </si>
  <si>
    <t>同源图模数据</t>
  </si>
  <si>
    <t>每条线包括xml和svg两个文件。</t>
  </si>
  <si>
    <t>侨翊简图绘制与统计、网架问题诊断</t>
  </si>
  <si>
    <t>未接入</t>
  </si>
  <si>
    <t>馈线表</t>
  </si>
  <si>
    <t>系统展示、网架问题诊断</t>
  </si>
  <si>
    <t>已接入</t>
  </si>
  <si>
    <t>数据爬取</t>
  </si>
  <si>
    <t>设备台账</t>
  </si>
  <si>
    <r>
      <rPr>
        <b/>
        <sz val="11"/>
        <color theme="1"/>
        <rFont val="宋体"/>
        <charset val="134"/>
        <scheme val="minor"/>
      </rPr>
      <t>包括：</t>
    </r>
    <r>
      <rPr>
        <sz val="11"/>
        <color theme="1"/>
        <rFont val="宋体"/>
        <charset val="134"/>
        <scheme val="minor"/>
      </rPr>
      <t xml:space="preserve">
环网柜
开关站
配电变压器
配电室
柱上变压器
柱上断路器
柱上隔离开关
</t>
    </r>
    <r>
      <rPr>
        <b/>
        <sz val="11"/>
        <color theme="1"/>
        <rFont val="宋体"/>
        <charset val="134"/>
        <scheme val="minor"/>
      </rPr>
      <t>设备状态：</t>
    </r>
    <r>
      <rPr>
        <sz val="11"/>
        <color theme="1"/>
        <rFont val="宋体"/>
        <charset val="134"/>
        <scheme val="minor"/>
      </rPr>
      <t>只接入“在用”“现场留用”。</t>
    </r>
  </si>
  <si>
    <t>设备问题诊断</t>
  </si>
  <si>
    <t>PMS系统</t>
  </si>
  <si>
    <t>高故障线路</t>
  </si>
  <si>
    <t>线路是否高故障</t>
  </si>
  <si>
    <t>系统展示（大屏页面）。</t>
  </si>
  <si>
    <t>设备隐患数据</t>
  </si>
  <si>
    <t>精益运维-PMS缺陷清单(1.1-8.5).xls</t>
  </si>
  <si>
    <t>设备缺陷数据</t>
  </si>
  <si>
    <t>技改大修项目数据</t>
  </si>
  <si>
    <t>人工统计</t>
  </si>
  <si>
    <t>联络开关汇总表</t>
  </si>
  <si>
    <r>
      <rPr>
        <sz val="11"/>
        <color theme="1"/>
        <rFont val="宋体"/>
        <charset val="134"/>
        <scheme val="minor"/>
      </rPr>
      <t>原始数据来自</t>
    </r>
    <r>
      <rPr>
        <b/>
        <sz val="11"/>
        <color theme="1"/>
        <rFont val="宋体"/>
        <charset val="134"/>
        <scheme val="minor"/>
      </rPr>
      <t>配自</t>
    </r>
    <r>
      <rPr>
        <sz val="11"/>
        <color theme="1"/>
        <rFont val="宋体"/>
        <charset val="134"/>
        <scheme val="minor"/>
      </rPr>
      <t>，目前开关数据与同源的开关名称不一样。</t>
    </r>
  </si>
  <si>
    <t>网架问题诊断</t>
  </si>
  <si>
    <t>开关状态量</t>
  </si>
  <si>
    <t>配网运行方式优解计算</t>
  </si>
  <si>
    <t>开关量测数据</t>
  </si>
  <si>
    <t>新一代用电信息采集系统</t>
  </si>
  <si>
    <t>台区负荷曲线</t>
  </si>
  <si>
    <r>
      <rPr>
        <b/>
        <sz val="11"/>
        <color theme="1"/>
        <rFont val="宋体"/>
        <charset val="134"/>
        <scheme val="minor"/>
      </rPr>
      <t>手动获取数据：</t>
    </r>
    <r>
      <rPr>
        <sz val="11"/>
        <color theme="1"/>
        <rFont val="宋体"/>
        <charset val="134"/>
        <scheme val="minor"/>
      </rPr>
      <t>新一代用电采集系统-》关键词搜索找到：台区数据查询-》搜索找到具体的台区-》在列表中点击具体用户进入下一级页面-》点击曲线-》在组合查询中修改展示方式为横向、数据项为电流，然后确定。</t>
    </r>
  </si>
  <si>
    <t>理论供电可靠性计算</t>
  </si>
  <si>
    <t>配网运行监视系统</t>
  </si>
  <si>
    <t>配网停电事件</t>
  </si>
  <si>
    <r>
      <rPr>
        <b/>
        <sz val="11"/>
        <color theme="1"/>
        <rFont val="宋体"/>
        <charset val="134"/>
        <scheme val="minor"/>
      </rPr>
      <t>手动获取数据：</t>
    </r>
    <r>
      <rPr>
        <sz val="11"/>
        <color theme="1"/>
        <rFont val="宋体"/>
        <charset val="134"/>
        <scheme val="minor"/>
      </rPr>
      <t>配网运行监视系统—》选中运维管理-》实施可靠性-》停电事件维护-》选择查询时间进行查询-》点击导出，导出全部。</t>
    </r>
  </si>
  <si>
    <t>全景动态数据智能叠加</t>
  </si>
  <si>
    <t>供电服务指挥系统</t>
  </si>
  <si>
    <t>配网意见工单</t>
  </si>
  <si>
    <r>
      <rPr>
        <b/>
        <sz val="11"/>
        <color theme="1"/>
        <rFont val="宋体"/>
        <charset val="134"/>
        <scheme val="minor"/>
      </rPr>
      <t>手动获取数据：</t>
    </r>
    <r>
      <rPr>
        <sz val="11"/>
        <color theme="1"/>
        <rFont val="宋体"/>
        <charset val="134"/>
        <scheme val="minor"/>
      </rPr>
      <t>供电服务指挥系统-》诉求管控-》代办工单-》进行工单查询后点全部导出-》导出完成后，打开文件筛选“一级分类”为电网建设、供电质量、停送电问题。</t>
    </r>
  </si>
  <si>
    <r>
      <rPr>
        <b/>
        <sz val="9"/>
        <color rgb="FF000000"/>
        <rFont val="Times New Roman"/>
        <charset val="134"/>
      </rPr>
      <t xml:space="preserve">10kV </t>
    </r>
    <r>
      <rPr>
        <b/>
        <sz val="9"/>
        <color rgb="FF000000"/>
        <rFont val="宋体"/>
        <charset val="134"/>
      </rPr>
      <t>铝芯绝缘导线、</t>
    </r>
    <r>
      <rPr>
        <b/>
        <sz val="9"/>
        <color rgb="FF000000"/>
        <rFont val="Times New Roman"/>
        <charset val="134"/>
      </rPr>
      <t xml:space="preserve">1kV </t>
    </r>
    <r>
      <rPr>
        <b/>
        <sz val="9"/>
        <color rgb="FF000000"/>
        <rFont val="宋体"/>
        <charset val="134"/>
      </rPr>
      <t>铝芯绝缘导线型号规格对照表</t>
    </r>
  </si>
  <si>
    <r>
      <rPr>
        <b/>
        <sz val="9"/>
        <color rgb="FF000000"/>
        <rFont val="Times New Roman"/>
        <charset val="134"/>
      </rPr>
      <t xml:space="preserve">10kV </t>
    </r>
    <r>
      <rPr>
        <b/>
        <sz val="9"/>
        <color rgb="FF000000"/>
        <rFont val="宋体"/>
        <charset val="134"/>
      </rPr>
      <t>中强度铝合金芯绝缘导线型号规格对照表</t>
    </r>
  </si>
  <si>
    <t>典型设计型号</t>
  </si>
  <si>
    <t>国标型号</t>
  </si>
  <si>
    <t>企标型号</t>
  </si>
  <si>
    <t>JKLYI-10/50</t>
  </si>
  <si>
    <t>JKLYI-10 1x50</t>
  </si>
  <si>
    <t>JKLHA3XZYJ-10/50</t>
  </si>
  <si>
    <t>JKLHA3XZYJ-10 1x50</t>
  </si>
  <si>
    <t>JKLYI-10/70</t>
  </si>
  <si>
    <t>JKLYJ-10 1x70</t>
  </si>
  <si>
    <t>JKLHA3XZYJ-10/70</t>
  </si>
  <si>
    <t>JKLHA3XZYJ-10 1x70</t>
  </si>
  <si>
    <t>JKLYJ-10/95</t>
  </si>
  <si>
    <t>JKLYI-10 1x95</t>
  </si>
  <si>
    <t>JKLHA3XZYJ-10/95</t>
  </si>
  <si>
    <t>JKLHA3XZYJ-10 1x95</t>
  </si>
  <si>
    <t>JKLYJ-10/120</t>
  </si>
  <si>
    <t>JKLYJ-10 1x120</t>
  </si>
  <si>
    <t>JKLHA3XZYJ-10/120</t>
  </si>
  <si>
    <t>JKLHA3XZYJ-10 1x120</t>
  </si>
  <si>
    <t>JKLYJ-10/150</t>
  </si>
  <si>
    <t>JKLYJ-101x150</t>
  </si>
  <si>
    <t>JKLHA3XZYJ-10/150</t>
  </si>
  <si>
    <t>JKLHA3XZYJ-10 1x150</t>
  </si>
  <si>
    <t>JKLYJ-10/185</t>
  </si>
  <si>
    <t>JKLYJ-10 1x185</t>
  </si>
  <si>
    <t>JKLHA3XZYJ-10/185</t>
  </si>
  <si>
    <t>JKLHA3XZYJ-10 1x185</t>
  </si>
  <si>
    <t>JKLYJ-10/240</t>
  </si>
  <si>
    <t>JKLYI-10 1x240</t>
  </si>
  <si>
    <t>JKLHA3XZYJ-10/240</t>
  </si>
  <si>
    <t>JKLHA3XZYJ-10 1x240</t>
  </si>
  <si>
    <t>JKLYJ-1/50</t>
  </si>
  <si>
    <t>JKLYJ-1 1x50</t>
  </si>
  <si>
    <t>JKLYJ-1/70</t>
  </si>
  <si>
    <t>JKLYJ-11x70</t>
  </si>
  <si>
    <t>JKLYI-1/95</t>
  </si>
  <si>
    <t>JKLYJ-11x95</t>
  </si>
  <si>
    <t>JKLYJ-1/120</t>
  </si>
  <si>
    <t>JKLYJ-11x120</t>
  </si>
  <si>
    <t>JKLYI-1/150</t>
  </si>
  <si>
    <t>JKLYI-11x150</t>
  </si>
  <si>
    <t>JKLYI-1/185</t>
  </si>
  <si>
    <t>JKLYJ-11x185</t>
  </si>
  <si>
    <r>
      <rPr>
        <b/>
        <sz val="9"/>
        <color rgb="FF000000"/>
        <rFont val="Times New Roman"/>
        <charset val="134"/>
      </rPr>
      <t xml:space="preserve">10kV </t>
    </r>
    <r>
      <rPr>
        <b/>
        <sz val="9"/>
        <color rgb="FF000000"/>
        <rFont val="宋体"/>
        <charset val="134"/>
      </rPr>
      <t>高导电率铝芯绝缘导线、</t>
    </r>
    <r>
      <rPr>
        <b/>
        <sz val="9"/>
        <color rgb="FF000000"/>
        <rFont val="Times New Roman"/>
        <charset val="134"/>
      </rPr>
      <t xml:space="preserve">10kV </t>
    </r>
    <r>
      <rPr>
        <b/>
        <sz val="9"/>
        <color rgb="FF000000"/>
        <rFont val="宋体"/>
        <charset val="134"/>
      </rPr>
      <t>钢芯铝绞线芯绝缘导线型号规格对照表</t>
    </r>
  </si>
  <si>
    <t>10千伏配电导线标准化设计方案型号</t>
  </si>
  <si>
    <t>JKL3YJ-10/50</t>
  </si>
  <si>
    <t>JKL3YJ-10 1x50</t>
  </si>
  <si>
    <t>JKL3YI-10/70</t>
  </si>
  <si>
    <t>JKL3YJ-10 1x70</t>
  </si>
  <si>
    <t>JKL3YJ-10/95</t>
  </si>
  <si>
    <t>JKL3YJ-10 1x95</t>
  </si>
  <si>
    <t>JKL3YI-10/120</t>
  </si>
  <si>
    <t>JKL3YJ-10 1x120</t>
  </si>
  <si>
    <t>JKL3YJ-10/150</t>
  </si>
  <si>
    <t>JKL3YJ-10 1x150</t>
  </si>
  <si>
    <t>JKL3YJ-10/185</t>
  </si>
  <si>
    <t>JKL3YJ-10 1x185</t>
  </si>
  <si>
    <t>JKL3YI-10/240</t>
  </si>
  <si>
    <t>JKL3YI-10 1x240</t>
  </si>
  <si>
    <t>JKLGYI-10-50/8</t>
  </si>
  <si>
    <t>JKLGYJ-10 1x 50/8</t>
  </si>
  <si>
    <t>JKLGYI-10-70/10</t>
  </si>
  <si>
    <t>JKLGYJ-10 1x70/10</t>
  </si>
  <si>
    <t>JKLGYI-10-95/15</t>
  </si>
  <si>
    <t>JKLGYJ-10 1x95/15</t>
  </si>
  <si>
    <t>JKLGYI-10-120/20</t>
  </si>
  <si>
    <t>JKLGYI-10 1x 120/20</t>
  </si>
  <si>
    <t>JKLGYI-10-150/25</t>
  </si>
  <si>
    <t>JKLGYJ-10 1x150/25</t>
  </si>
  <si>
    <t>JKLGYI-10-185/25</t>
  </si>
  <si>
    <t>JKLGYJ-10 1x185/25</t>
  </si>
  <si>
    <t>JKLGYJ-10-240/30</t>
  </si>
  <si>
    <t>JKLGYI-10 1x240/30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</si>
</sst>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9"/>
      <color rgb="FF000000"/>
      <name val="Times New Roman"/>
      <charset val="134"/>
    </font>
    <font>
      <b/>
      <sz val="9"/>
      <color rgb="FF000000"/>
      <name val="宋体"/>
      <charset val="134"/>
    </font>
    <font>
      <b/>
      <sz val="11"/>
      <color theme="1"/>
      <name val="宋体"/>
      <charset val="134"/>
      <scheme val="minor"/>
    </font>
    <font>
      <sz val="11"/>
      <color rgb="FFFF0000"/>
      <name val="宋体"/>
      <charset val="134"/>
      <scheme val="minor"/>
    </font>
    <font>
      <sz val="11"/>
      <color theme="1"/>
      <name val="宋体"/>
      <charset val="134"/>
    </font>
    <font>
      <b/>
      <sz val="11"/>
      <color rgb="FFFF0000"/>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trike/>
      <sz val="11"/>
      <color theme="1"/>
      <name val="宋体"/>
      <charset val="134"/>
      <scheme val="minor"/>
    </font>
    <font>
      <b/>
      <sz val="11"/>
      <color rgb="FFC00000"/>
      <name val="宋体"/>
      <charset val="134"/>
      <scheme val="minor"/>
    </font>
    <font>
      <b/>
      <sz val="11"/>
      <name val="宋体"/>
      <charset val="134"/>
      <scheme val="minor"/>
    </font>
    <font>
      <sz val="9"/>
      <name val="宋体"/>
      <charset val="134"/>
    </font>
    <font>
      <b/>
      <sz val="9"/>
      <name val="宋体"/>
      <charset val="134"/>
    </font>
  </fonts>
  <fills count="36">
    <fill>
      <patternFill patternType="none"/>
    </fill>
    <fill>
      <patternFill patternType="gray125"/>
    </fill>
    <fill>
      <patternFill patternType="solid">
        <fgColor theme="0" tint="-0.15"/>
        <bgColor indexed="64"/>
      </patternFill>
    </fill>
    <fill>
      <patternFill patternType="solid">
        <fgColor theme="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5" borderId="9"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0" applyNumberFormat="0" applyFill="0" applyAlignment="0" applyProtection="0">
      <alignment vertical="center"/>
    </xf>
    <xf numFmtId="0" fontId="14" fillId="0" borderId="10" applyNumberFormat="0" applyFill="0" applyAlignment="0" applyProtection="0">
      <alignment vertical="center"/>
    </xf>
    <xf numFmtId="0" fontId="15" fillId="0" borderId="11" applyNumberFormat="0" applyFill="0" applyAlignment="0" applyProtection="0">
      <alignment vertical="center"/>
    </xf>
    <xf numFmtId="0" fontId="15" fillId="0" borderId="0" applyNumberFormat="0" applyFill="0" applyBorder="0" applyAlignment="0" applyProtection="0">
      <alignment vertical="center"/>
    </xf>
    <xf numFmtId="0" fontId="16" fillId="6" borderId="12" applyNumberFormat="0" applyAlignment="0" applyProtection="0">
      <alignment vertical="center"/>
    </xf>
    <xf numFmtId="0" fontId="17" fillId="7" borderId="13" applyNumberFormat="0" applyAlignment="0" applyProtection="0">
      <alignment vertical="center"/>
    </xf>
    <xf numFmtId="0" fontId="18" fillId="7" borderId="12" applyNumberFormat="0" applyAlignment="0" applyProtection="0">
      <alignment vertical="center"/>
    </xf>
    <xf numFmtId="0" fontId="19" fillId="8" borderId="14" applyNumberFormat="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60">
    <xf numFmtId="0" fontId="0" fillId="0" borderId="0" xfId="0">
      <alignment vertical="center"/>
    </xf>
    <xf numFmtId="0" fontId="0" fillId="0" borderId="0" xfId="0"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3" fillId="2" borderId="2" xfId="0" applyFont="1" applyFill="1" applyBorder="1">
      <alignment vertical="center"/>
    </xf>
    <xf numFmtId="0" fontId="3" fillId="2" borderId="0" xfId="0" applyFont="1" applyFill="1">
      <alignment vertical="center"/>
    </xf>
    <xf numFmtId="0" fontId="0" fillId="0" borderId="1" xfId="0" applyBorder="1">
      <alignment vertical="center"/>
    </xf>
    <xf numFmtId="0" fontId="3" fillId="0" borderId="1" xfId="0" applyFont="1" applyBorder="1" applyAlignment="1">
      <alignment vertical="center" wrapText="1"/>
    </xf>
    <xf numFmtId="0" fontId="0" fillId="0" borderId="1" xfId="0" applyFont="1" applyBorder="1" applyAlignment="1">
      <alignment vertical="center" wrapText="1"/>
    </xf>
    <xf numFmtId="0" fontId="0" fillId="0" borderId="1" xfId="0" applyBorder="1" applyAlignment="1">
      <alignment horizontal="left" vertical="center"/>
    </xf>
    <xf numFmtId="0" fontId="0" fillId="0" borderId="0" xfId="0" applyAlignment="1">
      <alignment vertical="center" wrapText="1"/>
    </xf>
    <xf numFmtId="0" fontId="4" fillId="0" borderId="1" xfId="0" applyFont="1" applyBorder="1">
      <alignmen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3" fillId="0" borderId="1" xfId="0" applyFont="1" applyBorder="1" applyAlignment="1">
      <alignment horizontal="left" vertical="center" wrapText="1"/>
    </xf>
    <xf numFmtId="0" fontId="3" fillId="3" borderId="1" xfId="0" applyFont="1" applyFill="1" applyBorder="1" applyAlignment="1">
      <alignment horizontal="center"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0" fillId="0" borderId="1" xfId="0" applyBorder="1" applyAlignment="1">
      <alignment vertical="center" wrapText="1"/>
    </xf>
    <xf numFmtId="0" fontId="4" fillId="0" borderId="2" xfId="0" applyFont="1" applyBorder="1" applyAlignment="1">
      <alignment vertical="center" wrapText="1"/>
    </xf>
    <xf numFmtId="0" fontId="4" fillId="0" borderId="2" xfId="0" applyFont="1" applyBorder="1">
      <alignment vertical="center"/>
    </xf>
    <xf numFmtId="0" fontId="3" fillId="0" borderId="2" xfId="0" applyFont="1" applyBorder="1" applyAlignment="1">
      <alignment horizontal="left" vertical="center" wrapText="1"/>
    </xf>
    <xf numFmtId="0" fontId="0" fillId="0" borderId="2" xfId="0" applyFont="1" applyBorder="1" applyAlignment="1">
      <alignment horizontal="left" vertical="center" wrapText="1"/>
    </xf>
    <xf numFmtId="0" fontId="3" fillId="0" borderId="4" xfId="0" applyFont="1" applyBorder="1" applyAlignment="1">
      <alignment horizontal="left" vertical="center" wrapText="1"/>
    </xf>
    <xf numFmtId="0" fontId="0" fillId="0" borderId="4" xfId="0" applyBorder="1" applyAlignment="1">
      <alignment horizontal="left" vertical="center" wrapText="1"/>
    </xf>
    <xf numFmtId="0" fontId="3" fillId="0" borderId="3" xfId="0" applyFont="1" applyBorder="1" applyAlignment="1">
      <alignment horizontal="left" vertical="center" wrapText="1"/>
    </xf>
    <xf numFmtId="0" fontId="0" fillId="0" borderId="3" xfId="0" applyBorder="1" applyAlignment="1">
      <alignment horizontal="left" vertical="center" wrapText="1"/>
    </xf>
    <xf numFmtId="0" fontId="5" fillId="0" borderId="3" xfId="0" applyFont="1" applyBorder="1" applyAlignment="1">
      <alignment horizontal="center" vertical="center"/>
    </xf>
    <xf numFmtId="0" fontId="4" fillId="4" borderId="1" xfId="0" applyFont="1" applyFill="1" applyBorder="1" applyAlignment="1">
      <alignment vertical="center" wrapText="1"/>
    </xf>
    <xf numFmtId="0" fontId="6" fillId="4" borderId="3"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4" borderId="1" xfId="0" applyFont="1" applyFill="1" applyBorder="1">
      <alignment vertical="center"/>
    </xf>
    <xf numFmtId="0" fontId="0" fillId="0" borderId="1" xfId="0" applyFill="1" applyBorder="1">
      <alignment vertical="center"/>
    </xf>
    <xf numFmtId="0" fontId="0" fillId="4" borderId="1" xfId="0" applyFill="1" applyBorder="1">
      <alignment vertical="center"/>
    </xf>
    <xf numFmtId="0" fontId="0" fillId="0" borderId="2" xfId="0" applyBorder="1" applyAlignment="1">
      <alignment horizontal="center" vertical="center"/>
    </xf>
    <xf numFmtId="0" fontId="3" fillId="0" borderId="1" xfId="0" applyFont="1" applyFill="1" applyBorder="1" applyAlignment="1">
      <alignment vertical="center" wrapText="1"/>
    </xf>
    <xf numFmtId="0" fontId="0" fillId="0" borderId="4" xfId="0" applyBorder="1" applyAlignment="1">
      <alignment horizontal="center" vertical="center"/>
    </xf>
    <xf numFmtId="0" fontId="3" fillId="0" borderId="2" xfId="0" applyFont="1" applyFill="1" applyBorder="1" applyAlignment="1">
      <alignment vertical="center" wrapText="1"/>
    </xf>
    <xf numFmtId="0" fontId="3" fillId="0" borderId="3" xfId="0" applyFont="1" applyFill="1" applyBorder="1" applyAlignment="1">
      <alignment vertical="center" wrapText="1"/>
    </xf>
    <xf numFmtId="0" fontId="0" fillId="0" borderId="3" xfId="0" applyBorder="1" applyAlignment="1">
      <alignment horizontal="center" vertical="center"/>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6" fillId="0" borderId="1" xfId="0" applyFont="1" applyFill="1" applyBorder="1" applyAlignment="1">
      <alignment vertical="center" wrapText="1"/>
    </xf>
    <xf numFmtId="0" fontId="5" fillId="0" borderId="1" xfId="0" applyFont="1" applyBorder="1" applyAlignment="1">
      <alignment horizontal="center" vertical="center"/>
    </xf>
    <xf numFmtId="0" fontId="3" fillId="0" borderId="2" xfId="0" applyFont="1" applyBorder="1" applyAlignment="1">
      <alignment horizontal="center" vertical="center" wrapText="1"/>
    </xf>
    <xf numFmtId="0" fontId="0" fillId="0" borderId="3" xfId="0" applyFont="1" applyBorder="1" applyAlignment="1">
      <alignment horizontal="left" vertical="center" wrapText="1"/>
    </xf>
    <xf numFmtId="0" fontId="0" fillId="0" borderId="3" xfId="0" applyBorder="1" applyAlignment="1">
      <alignment horizontal="center" vertical="center" wrapText="1"/>
    </xf>
    <xf numFmtId="0" fontId="5" fillId="0" borderId="5" xfId="0" applyFont="1"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wrapText="1"/>
    </xf>
    <xf numFmtId="0" fontId="5" fillId="0" borderId="0" xfId="0" applyFont="1" applyAlignment="1">
      <alignment horizontal="center" vertical="center"/>
    </xf>
    <xf numFmtId="0" fontId="0" fillId="0" borderId="4" xfId="0" applyFont="1" applyBorder="1" applyAlignment="1">
      <alignment horizontal="left" vertical="center" wrapText="1"/>
    </xf>
    <xf numFmtId="0" fontId="0" fillId="4" borderId="0" xfId="0" applyFill="1">
      <alignment vertical="center"/>
    </xf>
    <xf numFmtId="0" fontId="0" fillId="0" borderId="7" xfId="0" applyBorder="1" applyAlignment="1">
      <alignment horizontal="center" vertical="center"/>
    </xf>
    <xf numFmtId="0" fontId="7" fillId="0" borderId="8" xfId="0" applyFont="1" applyBorder="1" applyAlignment="1">
      <alignment horizontal="center" vertical="center" wrapText="1"/>
    </xf>
    <xf numFmtId="0" fontId="4" fillId="0" borderId="2" xfId="0" applyFont="1" applyBorder="1" applyAlignment="1">
      <alignment vertical="center"/>
    </xf>
    <xf numFmtId="0" fontId="6" fillId="0" borderId="1" xfId="0" applyFont="1" applyBorder="1" applyAlignment="1">
      <alignment vertical="center" wrapText="1"/>
    </xf>
    <xf numFmtId="0" fontId="4" fillId="0" borderId="4" xfId="0" applyFont="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8"/>
  <sheetViews>
    <sheetView zoomScale="70" zoomScaleNormal="70" topLeftCell="A2" workbookViewId="0">
      <selection activeCell="C6" sqref="C6"/>
    </sheetView>
  </sheetViews>
  <sheetFormatPr defaultColWidth="9" defaultRowHeight="13.5" outlineLevelCol="5"/>
  <cols>
    <col min="1" max="1" width="24.0353982300885" customWidth="1"/>
    <col min="2" max="2" width="22.0796460176991" customWidth="1"/>
    <col min="3" max="3" width="43.5752212389381" customWidth="1"/>
    <col min="4" max="4" width="96.5929203539823" customWidth="1"/>
    <col min="5" max="5" width="81.9115044247788" customWidth="1"/>
  </cols>
  <sheetData>
    <row r="1" spans="1:5">
      <c r="A1" s="17" t="s">
        <v>0</v>
      </c>
      <c r="B1" s="17" t="s">
        <v>1</v>
      </c>
      <c r="C1" s="17" t="s">
        <v>2</v>
      </c>
      <c r="D1" s="17" t="s">
        <v>3</v>
      </c>
      <c r="E1" s="17" t="s">
        <v>4</v>
      </c>
    </row>
    <row r="2" ht="308" customHeight="1" spans="1:5">
      <c r="A2" s="18" t="s">
        <v>5</v>
      </c>
      <c r="B2" s="18" t="s">
        <v>6</v>
      </c>
      <c r="C2" s="8" t="s">
        <v>7</v>
      </c>
      <c r="D2" s="9" t="s">
        <v>8</v>
      </c>
      <c r="E2" s="9" t="s">
        <v>9</v>
      </c>
    </row>
    <row r="3" ht="44" customHeight="1" spans="1:5">
      <c r="A3" s="19"/>
      <c r="B3" s="19"/>
      <c r="C3" s="8" t="s">
        <v>10</v>
      </c>
      <c r="D3" s="20" t="s">
        <v>11</v>
      </c>
      <c r="E3" s="13" t="s">
        <v>12</v>
      </c>
    </row>
    <row r="4" ht="38" customHeight="1" spans="1:5">
      <c r="A4" s="19"/>
      <c r="B4" s="19"/>
      <c r="C4" s="13" t="s">
        <v>13</v>
      </c>
      <c r="D4" s="21" t="s">
        <v>14</v>
      </c>
      <c r="E4" s="22"/>
    </row>
    <row r="5" ht="119" customHeight="1" spans="1:5">
      <c r="A5" s="19"/>
      <c r="B5" s="18" t="s">
        <v>15</v>
      </c>
      <c r="C5" s="8" t="s">
        <v>16</v>
      </c>
      <c r="D5" s="23" t="s">
        <v>17</v>
      </c>
      <c r="E5" s="24" t="s">
        <v>18</v>
      </c>
    </row>
    <row r="6" ht="97" customHeight="1" spans="1:5">
      <c r="A6" s="19"/>
      <c r="B6" s="19"/>
      <c r="C6" s="8" t="s">
        <v>19</v>
      </c>
      <c r="D6" s="25"/>
      <c r="E6" s="26"/>
    </row>
    <row r="7" ht="119" customHeight="1" spans="1:5">
      <c r="A7" s="19"/>
      <c r="B7" s="19"/>
      <c r="C7" s="8" t="s">
        <v>20</v>
      </c>
      <c r="D7" s="25"/>
      <c r="E7" s="26"/>
    </row>
    <row r="8" ht="111" customHeight="1" spans="1:5">
      <c r="A8" s="19"/>
      <c r="B8" s="19"/>
      <c r="C8" s="20" t="s">
        <v>21</v>
      </c>
      <c r="D8" s="27"/>
      <c r="E8" s="28"/>
    </row>
    <row r="9" ht="93" customHeight="1" spans="1:5">
      <c r="A9" s="19"/>
      <c r="B9" s="29"/>
      <c r="C9" s="30" t="s">
        <v>22</v>
      </c>
      <c r="D9" s="31" t="s">
        <v>23</v>
      </c>
      <c r="E9" s="32" t="s">
        <v>24</v>
      </c>
    </row>
    <row r="10" ht="40.5" spans="1:5">
      <c r="A10" s="19"/>
      <c r="B10" s="4" t="s">
        <v>25</v>
      </c>
      <c r="C10" s="8" t="s">
        <v>26</v>
      </c>
      <c r="D10" s="10" t="s">
        <v>27</v>
      </c>
      <c r="E10" s="8"/>
    </row>
    <row r="11" ht="20" customHeight="1" spans="1:5">
      <c r="A11" s="19"/>
      <c r="B11" s="4"/>
      <c r="C11" s="8" t="s">
        <v>28</v>
      </c>
      <c r="D11" s="8" t="s">
        <v>29</v>
      </c>
      <c r="E11" s="8"/>
    </row>
    <row r="12" ht="43" customHeight="1" spans="1:5">
      <c r="A12" s="19"/>
      <c r="B12" s="4"/>
      <c r="C12" s="33" t="s">
        <v>30</v>
      </c>
      <c r="D12" s="30" t="s">
        <v>31</v>
      </c>
      <c r="E12" s="33"/>
    </row>
    <row r="13" ht="20" customHeight="1" spans="1:5">
      <c r="A13" s="19"/>
      <c r="B13" s="4"/>
      <c r="C13" s="8" t="s">
        <v>32</v>
      </c>
      <c r="D13" s="34" t="s">
        <v>33</v>
      </c>
      <c r="E13" s="35" t="s">
        <v>34</v>
      </c>
    </row>
    <row r="14" ht="132" customHeight="1" spans="1:5">
      <c r="A14" s="19"/>
      <c r="B14" s="36" t="s">
        <v>35</v>
      </c>
      <c r="C14" s="8" t="s">
        <v>36</v>
      </c>
      <c r="D14" s="37" t="s">
        <v>37</v>
      </c>
      <c r="E14" s="30" t="s">
        <v>38</v>
      </c>
    </row>
    <row r="15" ht="133" customHeight="1" spans="1:5">
      <c r="A15" s="19"/>
      <c r="B15" s="38"/>
      <c r="C15" s="8" t="s">
        <v>39</v>
      </c>
      <c r="D15" s="37" t="s">
        <v>40</v>
      </c>
      <c r="E15" s="34" t="s">
        <v>41</v>
      </c>
    </row>
    <row r="16" ht="149" customHeight="1" spans="1:5">
      <c r="A16" s="19"/>
      <c r="B16" s="38"/>
      <c r="C16" s="8" t="s">
        <v>42</v>
      </c>
      <c r="D16" s="39" t="s">
        <v>43</v>
      </c>
      <c r="E16" s="34"/>
    </row>
    <row r="17" ht="128" customHeight="1" spans="1:6">
      <c r="A17" s="19"/>
      <c r="B17" s="38"/>
      <c r="C17" s="8" t="s">
        <v>44</v>
      </c>
      <c r="D17" s="40"/>
      <c r="E17" s="34"/>
    </row>
    <row r="18" ht="142" customHeight="1" spans="1:6">
      <c r="A18" s="19"/>
      <c r="B18" s="41"/>
      <c r="C18" s="8" t="s">
        <v>45</v>
      </c>
      <c r="D18" s="37" t="s">
        <v>46</v>
      </c>
      <c r="E18" s="34"/>
    </row>
    <row r="19" ht="78" customHeight="1" spans="1:6">
      <c r="A19" s="19"/>
      <c r="B19" s="38" t="s">
        <v>47</v>
      </c>
      <c r="C19" s="8" t="s">
        <v>48</v>
      </c>
      <c r="D19" s="42" t="s">
        <v>49</v>
      </c>
      <c r="E19" s="34"/>
    </row>
    <row r="20" ht="68" customHeight="1" spans="1:6">
      <c r="A20" s="29"/>
      <c r="B20" s="41"/>
      <c r="C20" s="10" t="s">
        <v>50</v>
      </c>
      <c r="D20" s="43"/>
      <c r="E20" s="44" t="s">
        <v>51</v>
      </c>
    </row>
    <row r="21" ht="65" customHeight="1" spans="1:6">
      <c r="A21" s="45" t="s">
        <v>52</v>
      </c>
      <c r="B21" s="36" t="s">
        <v>53</v>
      </c>
      <c r="C21" s="4" t="s">
        <v>54</v>
      </c>
      <c r="D21" s="23" t="s">
        <v>55</v>
      </c>
      <c r="E21" s="46"/>
    </row>
    <row r="22" ht="67" customHeight="1" spans="1:6">
      <c r="A22" s="45"/>
      <c r="B22" s="41"/>
      <c r="C22" s="4" t="s">
        <v>56</v>
      </c>
      <c r="D22" s="47"/>
      <c r="E22" s="48"/>
    </row>
    <row r="23" ht="93" customHeight="1" spans="1:6">
      <c r="A23" s="49" t="s">
        <v>57</v>
      </c>
      <c r="B23" s="36" t="s">
        <v>58</v>
      </c>
      <c r="C23" s="50" t="s">
        <v>59</v>
      </c>
      <c r="D23" s="27" t="s">
        <v>60</v>
      </c>
      <c r="E23" s="51"/>
    </row>
    <row r="24" ht="67" customHeight="1" spans="1:6">
      <c r="A24" s="52"/>
      <c r="B24" s="38"/>
      <c r="C24" s="50" t="s">
        <v>61</v>
      </c>
      <c r="D24" s="47" t="s">
        <v>62</v>
      </c>
      <c r="E24" s="53" t="s">
        <v>63</v>
      </c>
    </row>
    <row r="25" ht="67" customHeight="1" spans="1:6">
      <c r="A25" s="52"/>
      <c r="B25" s="38"/>
      <c r="C25" s="50" t="s">
        <v>64</v>
      </c>
      <c r="D25" s="47" t="s">
        <v>65</v>
      </c>
      <c r="E25" s="53" t="s">
        <v>66</v>
      </c>
      <c r="F25" s="54" t="str">
        <f>_xlfn.DISPIMG("ID_A22C2309589C4F5585CC3E1EBF449AE8",1)</f>
        <v>=DISPIMG("ID_A22C2309589C4F5585CC3E1EBF449AE8",1)</v>
      </c>
    </row>
    <row r="26" ht="67" customHeight="1" spans="1:6">
      <c r="A26" s="52"/>
      <c r="B26" s="38"/>
      <c r="C26" s="55" t="s">
        <v>67</v>
      </c>
      <c r="D26" s="47" t="s">
        <v>68</v>
      </c>
      <c r="E26" s="51"/>
    </row>
    <row r="27" ht="90" customHeight="1" spans="1:6">
      <c r="A27" s="4" t="s">
        <v>69</v>
      </c>
      <c r="B27" s="45" t="s">
        <v>70</v>
      </c>
      <c r="C27" s="56" t="s">
        <v>71</v>
      </c>
      <c r="D27" s="9" t="s">
        <v>72</v>
      </c>
      <c r="E27" s="57"/>
    </row>
    <row r="28" ht="408" customHeight="1" spans="1:6">
      <c r="A28" s="4"/>
      <c r="B28" s="45" t="s">
        <v>73</v>
      </c>
      <c r="C28" s="56" t="s">
        <v>74</v>
      </c>
      <c r="D28" s="58" t="s">
        <v>75</v>
      </c>
      <c r="E28" s="59" t="s">
        <v>76</v>
      </c>
    </row>
  </sheetData>
  <mergeCells count="17">
    <mergeCell ref="A2:A20"/>
    <mergeCell ref="A21:A22"/>
    <mergeCell ref="A23:A26"/>
    <mergeCell ref="A27:A28"/>
    <mergeCell ref="B2:B4"/>
    <mergeCell ref="B5:B9"/>
    <mergeCell ref="B10:B13"/>
    <mergeCell ref="B14:B18"/>
    <mergeCell ref="B19:B20"/>
    <mergeCell ref="B21:B22"/>
    <mergeCell ref="B23:B26"/>
    <mergeCell ref="D5:D8"/>
    <mergeCell ref="D16:D17"/>
    <mergeCell ref="D19:D20"/>
    <mergeCell ref="D21:D22"/>
    <mergeCell ref="E5:E8"/>
    <mergeCell ref="E21:E22"/>
  </mergeCell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tabSelected="1" workbookViewId="0">
      <selection activeCell="D16" sqref="D16"/>
    </sheetView>
  </sheetViews>
  <sheetFormatPr defaultColWidth="9" defaultRowHeight="13.5" outlineLevelCol="7"/>
  <cols>
    <col min="1" max="1" width="27.4867256637168" customWidth="1"/>
    <col min="2" max="2" width="26.8938053097345" customWidth="1"/>
    <col min="3" max="3" width="54.3008849557522" customWidth="1"/>
    <col min="4" max="4" width="49.3185840707965" customWidth="1"/>
    <col min="5" max="5" width="15.7433628318584" customWidth="1"/>
    <col min="6" max="6" width="13.6814159292035" customWidth="1"/>
  </cols>
  <sheetData>
    <row r="1" spans="1:8">
      <c r="A1" s="6" t="s">
        <v>77</v>
      </c>
      <c r="B1" s="6" t="s">
        <v>78</v>
      </c>
      <c r="C1" s="6" t="s">
        <v>79</v>
      </c>
      <c r="D1" s="7" t="s">
        <v>80</v>
      </c>
      <c r="E1" s="7" t="s">
        <v>81</v>
      </c>
      <c r="F1" s="7" t="s">
        <v>82</v>
      </c>
    </row>
    <row r="2" spans="1:8">
      <c r="A2" s="4" t="s">
        <v>83</v>
      </c>
      <c r="B2" s="8" t="s">
        <v>84</v>
      </c>
      <c r="C2" s="8" t="s">
        <v>85</v>
      </c>
      <c r="D2" s="8" t="s">
        <v>86</v>
      </c>
      <c r="E2" s="8" t="s">
        <v>87</v>
      </c>
      <c r="F2" s="8"/>
    </row>
    <row r="3" spans="1:8">
      <c r="A3" s="4"/>
      <c r="B3" s="8" t="s">
        <v>88</v>
      </c>
      <c r="C3" s="8"/>
      <c r="D3" s="8" t="s">
        <v>89</v>
      </c>
      <c r="E3" s="8" t="s">
        <v>90</v>
      </c>
      <c r="F3" s="8" t="s">
        <v>91</v>
      </c>
    </row>
    <row r="4" ht="121.5" spans="1:8">
      <c r="A4" s="4"/>
      <c r="B4" s="8" t="s">
        <v>92</v>
      </c>
      <c r="C4" s="9" t="s">
        <v>93</v>
      </c>
      <c r="D4" s="10" t="s">
        <v>94</v>
      </c>
      <c r="E4" s="8" t="s">
        <v>90</v>
      </c>
      <c r="F4" s="8" t="s">
        <v>91</v>
      </c>
    </row>
    <row r="5" spans="1:8">
      <c r="A5" s="4" t="s">
        <v>95</v>
      </c>
      <c r="B5" s="8" t="s">
        <v>96</v>
      </c>
      <c r="C5" s="8" t="s">
        <v>97</v>
      </c>
      <c r="D5" s="8" t="s">
        <v>98</v>
      </c>
      <c r="E5" s="8" t="s">
        <v>87</v>
      </c>
      <c r="F5" s="8"/>
    </row>
    <row r="6" spans="1:8">
      <c r="A6" s="4"/>
      <c r="B6" s="8" t="s">
        <v>99</v>
      </c>
      <c r="C6" s="11" t="s">
        <v>100</v>
      </c>
      <c r="D6" s="11" t="s">
        <v>94</v>
      </c>
      <c r="E6" s="8" t="s">
        <v>87</v>
      </c>
      <c r="F6" s="8"/>
    </row>
    <row r="7" spans="1:8">
      <c r="A7" s="4"/>
      <c r="B7" s="8" t="s">
        <v>101</v>
      </c>
      <c r="C7" s="11"/>
      <c r="D7" s="11"/>
      <c r="E7" s="8" t="s">
        <v>87</v>
      </c>
      <c r="F7" s="8"/>
    </row>
    <row r="8" spans="1:8">
      <c r="A8" s="4"/>
      <c r="B8" s="8" t="s">
        <v>102</v>
      </c>
      <c r="C8" s="8"/>
      <c r="D8" s="11"/>
      <c r="E8" s="8" t="s">
        <v>87</v>
      </c>
      <c r="F8" s="8"/>
    </row>
    <row r="9" spans="1:8">
      <c r="A9" s="4" t="s">
        <v>103</v>
      </c>
      <c r="B9" s="8" t="s">
        <v>104</v>
      </c>
      <c r="C9" s="10" t="s">
        <v>105</v>
      </c>
      <c r="D9" s="10" t="s">
        <v>106</v>
      </c>
      <c r="E9" s="8" t="s">
        <v>87</v>
      </c>
      <c r="F9" s="8"/>
      <c r="H9" s="12"/>
    </row>
    <row r="10" spans="1:8">
      <c r="A10" s="8"/>
      <c r="B10" s="13" t="s">
        <v>107</v>
      </c>
      <c r="C10" s="8"/>
      <c r="D10" s="14" t="s">
        <v>108</v>
      </c>
      <c r="E10" s="8" t="s">
        <v>87</v>
      </c>
      <c r="F10" s="8"/>
    </row>
    <row r="11" spans="1:8">
      <c r="A11" s="8"/>
      <c r="B11" s="13" t="s">
        <v>109</v>
      </c>
      <c r="C11" s="8"/>
      <c r="D11" s="15"/>
      <c r="E11" s="8" t="s">
        <v>87</v>
      </c>
      <c r="F11" s="8"/>
    </row>
    <row r="12" ht="54" spans="1:8">
      <c r="A12" s="4" t="s">
        <v>110</v>
      </c>
      <c r="B12" s="8" t="s">
        <v>111</v>
      </c>
      <c r="C12" s="16" t="s">
        <v>112</v>
      </c>
      <c r="D12" s="8" t="s">
        <v>113</v>
      </c>
      <c r="E12" s="8" t="s">
        <v>87</v>
      </c>
      <c r="F12" s="8"/>
    </row>
    <row r="13" ht="40.5" spans="1:8">
      <c r="A13" s="4" t="s">
        <v>114</v>
      </c>
      <c r="B13" s="8" t="s">
        <v>115</v>
      </c>
      <c r="C13" s="9" t="s">
        <v>116</v>
      </c>
      <c r="D13" s="8" t="s">
        <v>117</v>
      </c>
      <c r="E13" s="8" t="s">
        <v>87</v>
      </c>
      <c r="F13" s="8"/>
    </row>
    <row r="14" ht="40.5" spans="1:8">
      <c r="A14" s="4" t="s">
        <v>118</v>
      </c>
      <c r="B14" s="8" t="s">
        <v>119</v>
      </c>
      <c r="C14" s="9" t="s">
        <v>120</v>
      </c>
      <c r="D14" s="8" t="s">
        <v>117</v>
      </c>
      <c r="E14" s="8" t="s">
        <v>87</v>
      </c>
      <c r="F14" s="8"/>
    </row>
  </sheetData>
  <mergeCells count="5">
    <mergeCell ref="A2:A4"/>
    <mergeCell ref="A5:A8"/>
    <mergeCell ref="C6:C7"/>
    <mergeCell ref="D6:D8"/>
    <mergeCell ref="D10:D11"/>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4"/>
  <sheetViews>
    <sheetView workbookViewId="0">
      <selection activeCell="D12" sqref="D12"/>
    </sheetView>
  </sheetViews>
  <sheetFormatPr defaultColWidth="9.02654867256637" defaultRowHeight="13.5" outlineLevelCol="4"/>
  <cols>
    <col min="1" max="1" width="29.2743362831858" customWidth="1"/>
    <col min="2" max="2" width="33.0619469026549" customWidth="1"/>
    <col min="4" max="4" width="23.4336283185841" style="1" customWidth="1"/>
    <col min="5" max="5" width="24.8938053097345" style="1" customWidth="1"/>
  </cols>
  <sheetData>
    <row r="1" spans="1:5">
      <c r="A1" s="2" t="s">
        <v>121</v>
      </c>
      <c r="B1" s="2"/>
      <c r="D1" s="2" t="s">
        <v>122</v>
      </c>
      <c r="E1" s="2"/>
    </row>
    <row r="2" spans="1:5">
      <c r="A2" s="3" t="s">
        <v>123</v>
      </c>
      <c r="B2" s="3" t="s">
        <v>124</v>
      </c>
      <c r="D2" s="3" t="s">
        <v>123</v>
      </c>
      <c r="E2" s="3" t="s">
        <v>125</v>
      </c>
    </row>
    <row r="3" spans="1:5">
      <c r="A3" s="4" t="s">
        <v>126</v>
      </c>
      <c r="B3" s="4" t="s">
        <v>127</v>
      </c>
      <c r="D3" s="4" t="s">
        <v>128</v>
      </c>
      <c r="E3" s="4" t="s">
        <v>129</v>
      </c>
    </row>
    <row r="4" spans="1:5">
      <c r="A4" s="4" t="s">
        <v>130</v>
      </c>
      <c r="B4" s="4" t="s">
        <v>131</v>
      </c>
      <c r="D4" s="4" t="s">
        <v>132</v>
      </c>
      <c r="E4" s="4" t="s">
        <v>133</v>
      </c>
    </row>
    <row r="5" spans="1:5">
      <c r="A5" s="4" t="s">
        <v>134</v>
      </c>
      <c r="B5" s="4" t="s">
        <v>135</v>
      </c>
      <c r="D5" s="4" t="s">
        <v>136</v>
      </c>
      <c r="E5" s="4" t="s">
        <v>137</v>
      </c>
    </row>
    <row r="6" spans="1:5">
      <c r="A6" s="4" t="s">
        <v>138</v>
      </c>
      <c r="B6" s="4" t="s">
        <v>139</v>
      </c>
      <c r="D6" s="4" t="s">
        <v>140</v>
      </c>
      <c r="E6" s="4" t="s">
        <v>141</v>
      </c>
    </row>
    <row r="7" spans="1:5">
      <c r="A7" s="4" t="s">
        <v>142</v>
      </c>
      <c r="B7" s="4" t="s">
        <v>143</v>
      </c>
      <c r="D7" s="4" t="s">
        <v>144</v>
      </c>
      <c r="E7" s="4" t="s">
        <v>145</v>
      </c>
    </row>
    <row r="8" spans="1:5">
      <c r="A8" s="4" t="s">
        <v>146</v>
      </c>
      <c r="B8" s="4" t="s">
        <v>147</v>
      </c>
      <c r="D8" s="4" t="s">
        <v>148</v>
      </c>
      <c r="E8" s="4" t="s">
        <v>149</v>
      </c>
    </row>
    <row r="9" spans="1:5">
      <c r="A9" s="4" t="s">
        <v>150</v>
      </c>
      <c r="B9" s="4" t="s">
        <v>151</v>
      </c>
      <c r="D9" s="4" t="s">
        <v>152</v>
      </c>
      <c r="E9" s="4" t="s">
        <v>153</v>
      </c>
    </row>
    <row r="10" spans="1:5">
      <c r="A10" s="4" t="s">
        <v>154</v>
      </c>
      <c r="B10" s="4" t="s">
        <v>155</v>
      </c>
    </row>
    <row r="11" spans="1:5">
      <c r="A11" s="4" t="s">
        <v>156</v>
      </c>
      <c r="B11" s="4" t="s">
        <v>157</v>
      </c>
    </row>
    <row r="12" spans="1:5">
      <c r="A12" s="4" t="s">
        <v>158</v>
      </c>
      <c r="B12" s="4" t="s">
        <v>159</v>
      </c>
    </row>
    <row r="13" spans="1:5">
      <c r="A13" s="4" t="s">
        <v>160</v>
      </c>
      <c r="B13" s="4" t="s">
        <v>161</v>
      </c>
    </row>
    <row r="14" spans="1:5">
      <c r="A14" s="4" t="s">
        <v>162</v>
      </c>
      <c r="B14" s="4" t="s">
        <v>163</v>
      </c>
    </row>
    <row r="15" spans="1:5">
      <c r="A15" s="4" t="s">
        <v>164</v>
      </c>
      <c r="B15" s="4" t="s">
        <v>165</v>
      </c>
    </row>
    <row r="19" spans="1:2">
      <c r="A19" s="2" t="s">
        <v>166</v>
      </c>
      <c r="B19" s="2"/>
    </row>
    <row r="20" spans="1:2">
      <c r="A20" s="5" t="s">
        <v>123</v>
      </c>
      <c r="B20" s="5" t="s">
        <v>167</v>
      </c>
    </row>
    <row r="21" spans="1:2">
      <c r="A21" s="4" t="s">
        <v>168</v>
      </c>
      <c r="B21" s="4" t="s">
        <v>169</v>
      </c>
    </row>
    <row r="22" spans="1:2">
      <c r="A22" s="4" t="s">
        <v>170</v>
      </c>
      <c r="B22" s="4" t="s">
        <v>171</v>
      </c>
    </row>
    <row r="23" spans="1:2">
      <c r="A23" s="4" t="s">
        <v>172</v>
      </c>
      <c r="B23" s="4" t="s">
        <v>173</v>
      </c>
    </row>
    <row r="24" spans="1:2">
      <c r="A24" s="4" t="s">
        <v>174</v>
      </c>
      <c r="B24" s="4" t="s">
        <v>175</v>
      </c>
    </row>
    <row r="25" spans="1:2">
      <c r="A25" s="4" t="s">
        <v>176</v>
      </c>
      <c r="B25" s="4" t="s">
        <v>177</v>
      </c>
    </row>
    <row r="26" spans="1:2">
      <c r="A26" s="4" t="s">
        <v>178</v>
      </c>
      <c r="B26" s="4" t="s">
        <v>179</v>
      </c>
    </row>
    <row r="27" spans="1:2">
      <c r="A27" s="4" t="s">
        <v>180</v>
      </c>
      <c r="B27" s="4" t="s">
        <v>181</v>
      </c>
    </row>
    <row r="28" spans="1:2">
      <c r="A28" s="4" t="s">
        <v>182</v>
      </c>
      <c r="B28" s="4" t="s">
        <v>183</v>
      </c>
    </row>
    <row r="29" spans="1:2">
      <c r="A29" s="4" t="s">
        <v>184</v>
      </c>
      <c r="B29" s="4" t="s">
        <v>185</v>
      </c>
    </row>
    <row r="30" spans="1:2">
      <c r="A30" s="4" t="s">
        <v>186</v>
      </c>
      <c r="B30" s="4" t="s">
        <v>187</v>
      </c>
    </row>
    <row r="31" spans="1:2">
      <c r="A31" s="4" t="s">
        <v>188</v>
      </c>
      <c r="B31" s="4" t="s">
        <v>189</v>
      </c>
    </row>
    <row r="32" spans="1:2">
      <c r="A32" s="4" t="s">
        <v>190</v>
      </c>
      <c r="B32" s="4" t="s">
        <v>191</v>
      </c>
    </row>
    <row r="33" spans="1:2">
      <c r="A33" s="4" t="s">
        <v>192</v>
      </c>
      <c r="B33" s="4" t="s">
        <v>193</v>
      </c>
    </row>
    <row r="34" spans="1:2">
      <c r="A34" s="4" t="s">
        <v>194</v>
      </c>
      <c r="B34" s="4" t="s">
        <v>195</v>
      </c>
    </row>
  </sheetData>
  <mergeCells count="3">
    <mergeCell ref="A1:B1"/>
    <mergeCell ref="D1:E1"/>
    <mergeCell ref="A19:B1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规则</vt:lpstr>
      <vt:lpstr>数据清单</vt:lpstr>
      <vt:lpstr>导线标准型号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李翀</dc:creator>
  <cp:lastModifiedBy>翀</cp:lastModifiedBy>
  <dcterms:created xsi:type="dcterms:W3CDTF">2023-05-12T19:15:00Z</dcterms:created>
  <dcterms:modified xsi:type="dcterms:W3CDTF">2025-11-05T02:21:49Z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43969EAAB2545FB92E76BF68B354DC42_43</vt:lpwstr>
  </property>
</Properties>
</file>