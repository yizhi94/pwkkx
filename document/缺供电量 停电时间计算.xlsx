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omments5.xml" ContentType="application/vnd.openxmlformats-officedocument.spreadsheetml.comments+xml"/>
  <Override PartName="/xl/drawings/drawing2.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827"/>
  <workbookPr/>
  <mc:AlternateContent xmlns:mc="http://schemas.openxmlformats.org/markup-compatibility/2006">
    <mc:Choice Requires="x15">
      <x15ac:absPath xmlns:x15ac="http://schemas.microsoft.com/office/spreadsheetml/2010/11/ac" url="C:\Users\法电7\Desktop\可靠性手动验算文件\"/>
    </mc:Choice>
  </mc:AlternateContent>
  <xr:revisionPtr revIDLastSave="0" documentId="13_ncr:1_{4A83ABE6-B793-4F89-ACA2-FE76F94A8646}" xr6:coauthVersionLast="37" xr6:coauthVersionMax="40" xr10:uidLastSave="{00000000-0000-0000-0000-000000000000}"/>
  <bookViews>
    <workbookView xWindow="0" yWindow="0" windowWidth="20490" windowHeight="7755" xr2:uid="{00000000-000D-0000-FFFF-FFFF00000000}"/>
  </bookViews>
  <sheets>
    <sheet name="公安街81" sheetId="8" r:id="rId1"/>
    <sheet name="南京路68" sheetId="9" r:id="rId2"/>
    <sheet name="南京路64" sheetId="10" r:id="rId3"/>
    <sheet name="公安街77" sheetId="7" r:id="rId4"/>
    <sheet name="停电时间计算" sheetId="1" r:id="rId5"/>
    <sheet name="缺供电量计算" sheetId="5" r:id="rId6"/>
    <sheet name="Feuil4" sheetId="6" r:id="rId7"/>
    <sheet name="Feuil2" sheetId="2" r:id="rId8"/>
    <sheet name="Feuil3" sheetId="3" r:id="rId9"/>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5" i="10" l="1"/>
  <c r="S25" i="10"/>
  <c r="T25" i="10"/>
  <c r="U25" i="10"/>
  <c r="V25" i="10"/>
  <c r="N25" i="10"/>
  <c r="R16" i="10"/>
  <c r="S16" i="10"/>
  <c r="T16" i="10"/>
  <c r="R17" i="10"/>
  <c r="S17" i="10"/>
  <c r="T17" i="10"/>
  <c r="R18" i="10"/>
  <c r="S18" i="10"/>
  <c r="T18" i="10"/>
  <c r="R19" i="10"/>
  <c r="S19" i="10"/>
  <c r="T19" i="10"/>
  <c r="R20" i="10"/>
  <c r="S20" i="10"/>
  <c r="T20" i="10"/>
  <c r="R21" i="10"/>
  <c r="S21" i="10"/>
  <c r="T21" i="10"/>
  <c r="R22" i="10"/>
  <c r="S22" i="10"/>
  <c r="T22" i="10"/>
  <c r="R23" i="10"/>
  <c r="S23" i="10"/>
  <c r="T23" i="10"/>
  <c r="R24" i="10"/>
  <c r="S24" i="10"/>
  <c r="T24" i="10"/>
  <c r="O12" i="10"/>
  <c r="O13" i="10"/>
  <c r="O14" i="10"/>
  <c r="O15" i="10"/>
  <c r="O16" i="10"/>
  <c r="O17" i="10"/>
  <c r="O18" i="10"/>
  <c r="O19" i="10"/>
  <c r="O20" i="10"/>
  <c r="O21" i="10"/>
  <c r="O22" i="10"/>
  <c r="O23" i="10"/>
  <c r="O24" i="10"/>
  <c r="N17" i="10"/>
  <c r="N18" i="10"/>
  <c r="N19" i="10"/>
  <c r="N20" i="10"/>
  <c r="N21" i="10"/>
  <c r="N22" i="10"/>
  <c r="N23" i="10"/>
  <c r="N24" i="10"/>
  <c r="M25" i="10"/>
  <c r="H12" i="10"/>
  <c r="I12" i="10"/>
  <c r="H13" i="10"/>
  <c r="I13" i="10"/>
  <c r="H14" i="10"/>
  <c r="I14" i="10"/>
  <c r="H15" i="10"/>
  <c r="I15" i="10"/>
  <c r="H16" i="10"/>
  <c r="I16" i="10"/>
  <c r="H17" i="10"/>
  <c r="I17" i="10"/>
  <c r="J17" i="10" s="1"/>
  <c r="H18" i="10"/>
  <c r="I18" i="10"/>
  <c r="J18" i="10" s="1"/>
  <c r="H19" i="10"/>
  <c r="I19" i="10"/>
  <c r="H20" i="10"/>
  <c r="I20" i="10"/>
  <c r="H21" i="10"/>
  <c r="I21" i="10"/>
  <c r="H22" i="10"/>
  <c r="I22" i="10"/>
  <c r="H23" i="10"/>
  <c r="I23" i="10"/>
  <c r="J23" i="10" s="1"/>
  <c r="H24" i="10"/>
  <c r="I24" i="10"/>
  <c r="J24" i="10"/>
  <c r="G13" i="10"/>
  <c r="G14" i="10"/>
  <c r="G15" i="10"/>
  <c r="G16" i="10"/>
  <c r="J16" i="10" s="1"/>
  <c r="G17" i="10"/>
  <c r="G18" i="10"/>
  <c r="G19" i="10"/>
  <c r="G20" i="10"/>
  <c r="G21" i="10"/>
  <c r="G22" i="10"/>
  <c r="G23" i="10"/>
  <c r="G24" i="10"/>
  <c r="C25" i="10"/>
  <c r="D25" i="10"/>
  <c r="E25" i="10"/>
  <c r="F25" i="10"/>
  <c r="D13" i="10"/>
  <c r="D14" i="10"/>
  <c r="D17" i="10"/>
  <c r="D20" i="10"/>
  <c r="D21" i="10"/>
  <c r="D23" i="10"/>
  <c r="C15" i="10"/>
  <c r="C16" i="10"/>
  <c r="C17" i="10"/>
  <c r="C18" i="10"/>
  <c r="C19" i="10"/>
  <c r="C20" i="10"/>
  <c r="C21" i="10"/>
  <c r="C22" i="10"/>
  <c r="C23" i="10"/>
  <c r="C24" i="10"/>
  <c r="B25" i="10"/>
  <c r="B25" i="9"/>
  <c r="H21" i="9"/>
  <c r="G21" i="9"/>
  <c r="C21" i="9"/>
  <c r="I21" i="9" s="1"/>
  <c r="J21" i="9" s="1"/>
  <c r="T24" i="9"/>
  <c r="S23" i="9"/>
  <c r="S22" i="9"/>
  <c r="M25" i="9"/>
  <c r="N24" i="9"/>
  <c r="S24" i="9" s="1"/>
  <c r="G20" i="9"/>
  <c r="C14" i="9"/>
  <c r="G14" i="9" s="1"/>
  <c r="C15" i="9"/>
  <c r="C16" i="9"/>
  <c r="G16" i="9" s="1"/>
  <c r="C17" i="9"/>
  <c r="C18" i="9"/>
  <c r="G18" i="9" s="1"/>
  <c r="C19" i="9"/>
  <c r="C20" i="9"/>
  <c r="C22" i="9"/>
  <c r="G22" i="9" s="1"/>
  <c r="C23" i="9"/>
  <c r="H23" i="9" s="1"/>
  <c r="C24" i="9"/>
  <c r="H24" i="9" s="1"/>
  <c r="N19" i="9"/>
  <c r="N20" i="9"/>
  <c r="N21" i="9"/>
  <c r="N22" i="9"/>
  <c r="T22" i="9" s="1"/>
  <c r="N23" i="9"/>
  <c r="T23" i="9" s="1"/>
  <c r="I24" i="9" l="1"/>
  <c r="G23" i="9"/>
  <c r="J23" i="9" s="1"/>
  <c r="I23" i="9"/>
  <c r="G25" i="10"/>
  <c r="J15" i="10"/>
  <c r="J22" i="10"/>
  <c r="J20" i="10"/>
  <c r="J13" i="10"/>
  <c r="J14" i="10"/>
  <c r="J19" i="10"/>
  <c r="J12" i="10"/>
  <c r="J21" i="10"/>
  <c r="U20" i="10"/>
  <c r="U23" i="10"/>
  <c r="V23" i="10" s="1"/>
  <c r="U24" i="10"/>
  <c r="V24" i="10" s="1"/>
  <c r="U22" i="10"/>
  <c r="V22" i="10" s="1"/>
  <c r="U21" i="10"/>
  <c r="V21" i="10" s="1"/>
  <c r="U19" i="10"/>
  <c r="U18" i="10"/>
  <c r="V18" i="10" s="1"/>
  <c r="U17" i="10"/>
  <c r="V17" i="10" s="1"/>
  <c r="U16" i="10"/>
  <c r="V16" i="10" s="1"/>
  <c r="N13" i="8"/>
  <c r="N14" i="8"/>
  <c r="T14" i="8" s="1"/>
  <c r="N15" i="8"/>
  <c r="R15" i="8" s="1"/>
  <c r="B22" i="7"/>
  <c r="N16" i="10"/>
  <c r="N15" i="10"/>
  <c r="T15" i="10" s="1"/>
  <c r="N14" i="10"/>
  <c r="T14" i="10" s="1"/>
  <c r="C14" i="10"/>
  <c r="N13" i="10"/>
  <c r="T13" i="10" s="1"/>
  <c r="C13" i="10"/>
  <c r="N12" i="10"/>
  <c r="T12" i="10" s="1"/>
  <c r="C12" i="10"/>
  <c r="N11" i="10"/>
  <c r="S11" i="10" s="1"/>
  <c r="C11" i="10"/>
  <c r="H11" i="10" s="1"/>
  <c r="T21" i="9"/>
  <c r="S21" i="9"/>
  <c r="H20" i="9"/>
  <c r="S19" i="9"/>
  <c r="H19" i="9"/>
  <c r="N18" i="9"/>
  <c r="T18" i="9" s="1"/>
  <c r="H18" i="9"/>
  <c r="N17" i="9"/>
  <c r="T17" i="9" s="1"/>
  <c r="I17" i="9"/>
  <c r="N16" i="9"/>
  <c r="T16" i="9" s="1"/>
  <c r="I16" i="9"/>
  <c r="N15" i="9"/>
  <c r="T15" i="9" s="1"/>
  <c r="N14" i="9"/>
  <c r="T14" i="9" s="1"/>
  <c r="I14" i="9"/>
  <c r="N13" i="9"/>
  <c r="S13" i="9" s="1"/>
  <c r="C13" i="9"/>
  <c r="N12" i="9"/>
  <c r="T12" i="9" s="1"/>
  <c r="C12" i="9"/>
  <c r="I12" i="9" s="1"/>
  <c r="N11" i="9"/>
  <c r="T11" i="9" s="1"/>
  <c r="C11" i="9"/>
  <c r="C25" i="9" s="1"/>
  <c r="M22" i="8"/>
  <c r="B22" i="8"/>
  <c r="C14" i="8"/>
  <c r="H14" i="8" s="1"/>
  <c r="T13" i="8"/>
  <c r="S13" i="8"/>
  <c r="H13" i="8"/>
  <c r="C13" i="8"/>
  <c r="I13" i="8" s="1"/>
  <c r="N12" i="8"/>
  <c r="S12" i="8" s="1"/>
  <c r="I12" i="8"/>
  <c r="C12" i="8"/>
  <c r="H12" i="8" s="1"/>
  <c r="N11" i="8"/>
  <c r="T11" i="8" s="1"/>
  <c r="I11" i="8"/>
  <c r="H11" i="8"/>
  <c r="C11" i="8"/>
  <c r="I14" i="7"/>
  <c r="I16" i="7"/>
  <c r="I17" i="7"/>
  <c r="I18" i="7"/>
  <c r="H19" i="7"/>
  <c r="G14" i="7"/>
  <c r="G19" i="7"/>
  <c r="C12" i="7"/>
  <c r="C13" i="7"/>
  <c r="G13" i="7" s="1"/>
  <c r="C14" i="7"/>
  <c r="C15" i="7"/>
  <c r="G15" i="7" s="1"/>
  <c r="C16" i="7"/>
  <c r="C17" i="7"/>
  <c r="G17" i="7" s="1"/>
  <c r="C18" i="7"/>
  <c r="G18" i="7" s="1"/>
  <c r="C19" i="7"/>
  <c r="I19" i="7" s="1"/>
  <c r="C20" i="7"/>
  <c r="I20" i="7" s="1"/>
  <c r="C21" i="7"/>
  <c r="I21" i="7" s="1"/>
  <c r="N20" i="7"/>
  <c r="N21" i="7"/>
  <c r="T21" i="7" s="1"/>
  <c r="M22" i="7"/>
  <c r="G21" i="7" l="1"/>
  <c r="H21" i="7"/>
  <c r="J21" i="7" s="1"/>
  <c r="G20" i="7"/>
  <c r="J20" i="7" s="1"/>
  <c r="H20" i="7"/>
  <c r="I15" i="7"/>
  <c r="I13" i="7"/>
  <c r="H11" i="9"/>
  <c r="H25" i="9" s="1"/>
  <c r="I11" i="9"/>
  <c r="I25" i="9" s="1"/>
  <c r="I14" i="8"/>
  <c r="I22" i="8" s="1"/>
  <c r="G13" i="8"/>
  <c r="J13" i="8" s="1"/>
  <c r="V20" i="10"/>
  <c r="V19" i="10"/>
  <c r="T11" i="10"/>
  <c r="S13" i="10"/>
  <c r="S14" i="10"/>
  <c r="D11" i="10"/>
  <c r="G11" i="10" s="1"/>
  <c r="R13" i="10"/>
  <c r="D12" i="10"/>
  <c r="G12" i="10" s="1"/>
  <c r="T13" i="9"/>
  <c r="H15" i="9"/>
  <c r="I13" i="9"/>
  <c r="I19" i="9"/>
  <c r="H17" i="9"/>
  <c r="T19" i="9"/>
  <c r="I18" i="9"/>
  <c r="J18" i="9" s="1"/>
  <c r="I22" i="9"/>
  <c r="I20" i="9"/>
  <c r="J20" i="9" s="1"/>
  <c r="H13" i="9"/>
  <c r="I15" i="9"/>
  <c r="H22" i="9"/>
  <c r="J22" i="9" s="1"/>
  <c r="S17" i="9"/>
  <c r="S15" i="9"/>
  <c r="S14" i="9"/>
  <c r="S12" i="9"/>
  <c r="S21" i="7"/>
  <c r="R21" i="7"/>
  <c r="S15" i="8"/>
  <c r="T15" i="8"/>
  <c r="S11" i="8"/>
  <c r="O14" i="8"/>
  <c r="R14" i="8" s="1"/>
  <c r="D11" i="8"/>
  <c r="G11" i="8" s="1"/>
  <c r="J11" i="8" s="1"/>
  <c r="O12" i="8"/>
  <c r="R12" i="8" s="1"/>
  <c r="J19" i="7"/>
  <c r="I11" i="10"/>
  <c r="S12" i="10"/>
  <c r="R15" i="10"/>
  <c r="R12" i="10"/>
  <c r="S15" i="10"/>
  <c r="R14" i="10"/>
  <c r="O11" i="10"/>
  <c r="R11" i="10" s="1"/>
  <c r="U11" i="10" s="1"/>
  <c r="N25" i="9"/>
  <c r="G12" i="9"/>
  <c r="S16" i="9"/>
  <c r="S18" i="9"/>
  <c r="T20" i="9"/>
  <c r="S20" i="9"/>
  <c r="H12" i="9"/>
  <c r="H14" i="9"/>
  <c r="S11" i="9"/>
  <c r="H16" i="9"/>
  <c r="N22" i="8"/>
  <c r="D12" i="8"/>
  <c r="G12" i="8" s="1"/>
  <c r="J12" i="8" s="1"/>
  <c r="S14" i="8"/>
  <c r="O11" i="8"/>
  <c r="R11" i="8" s="1"/>
  <c r="T12" i="8"/>
  <c r="G14" i="8"/>
  <c r="C22" i="8"/>
  <c r="O13" i="8"/>
  <c r="R13" i="8" s="1"/>
  <c r="U13" i="8" s="1"/>
  <c r="N12" i="7"/>
  <c r="T12" i="7" s="1"/>
  <c r="N11" i="7"/>
  <c r="N19" i="7"/>
  <c r="S19" i="7" s="1"/>
  <c r="N18" i="7"/>
  <c r="T18" i="7" s="1"/>
  <c r="O19" i="7"/>
  <c r="T20" i="7"/>
  <c r="N17" i="7"/>
  <c r="S17" i="7" s="1"/>
  <c r="H17" i="7"/>
  <c r="J17" i="7" s="1"/>
  <c r="N16" i="7"/>
  <c r="S16" i="7" s="1"/>
  <c r="N15" i="7"/>
  <c r="S15" i="7" s="1"/>
  <c r="H15" i="7"/>
  <c r="J15" i="7" s="1"/>
  <c r="N14" i="7"/>
  <c r="T14" i="7" s="1"/>
  <c r="N13" i="7"/>
  <c r="T13" i="7" s="1"/>
  <c r="H13" i="7"/>
  <c r="J13" i="7" s="1"/>
  <c r="I12" i="7"/>
  <c r="C11" i="7"/>
  <c r="H11" i="7" s="1"/>
  <c r="R19" i="7" l="1"/>
  <c r="U21" i="7"/>
  <c r="V21" i="7" s="1"/>
  <c r="S25" i="9"/>
  <c r="J14" i="8"/>
  <c r="J11" i="10"/>
  <c r="U14" i="10"/>
  <c r="V14" i="10" s="1"/>
  <c r="U13" i="10"/>
  <c r="V13" i="10" s="1"/>
  <c r="U15" i="10"/>
  <c r="V15" i="10" s="1"/>
  <c r="I25" i="10"/>
  <c r="H25" i="10"/>
  <c r="T25" i="9"/>
  <c r="J16" i="9"/>
  <c r="U15" i="8"/>
  <c r="V15" i="8" s="1"/>
  <c r="U14" i="8"/>
  <c r="T22" i="8"/>
  <c r="U12" i="8"/>
  <c r="V12" i="8" s="1"/>
  <c r="V13" i="8"/>
  <c r="U12" i="10"/>
  <c r="V11" i="10"/>
  <c r="J14" i="9"/>
  <c r="J12" i="9"/>
  <c r="H22" i="8"/>
  <c r="G22" i="8"/>
  <c r="R22" i="8"/>
  <c r="U11" i="8"/>
  <c r="V11" i="8" s="1"/>
  <c r="J22" i="8"/>
  <c r="S22" i="8"/>
  <c r="H14" i="7"/>
  <c r="J14" i="7" s="1"/>
  <c r="H16" i="7"/>
  <c r="S18" i="7"/>
  <c r="I11" i="7"/>
  <c r="I22" i="7" s="1"/>
  <c r="T19" i="7"/>
  <c r="T16" i="7"/>
  <c r="N22" i="7"/>
  <c r="S13" i="7"/>
  <c r="T11" i="7"/>
  <c r="D16" i="7"/>
  <c r="G16" i="7" s="1"/>
  <c r="T15" i="7"/>
  <c r="H12" i="7"/>
  <c r="S14" i="7"/>
  <c r="O16" i="7"/>
  <c r="R16" i="7" s="1"/>
  <c r="T17" i="7"/>
  <c r="C22" i="7"/>
  <c r="O12" i="7"/>
  <c r="R12" i="7" s="1"/>
  <c r="S12" i="7"/>
  <c r="O14" i="7"/>
  <c r="R14" i="7" s="1"/>
  <c r="O11" i="7"/>
  <c r="R11" i="7" s="1"/>
  <c r="D11" i="7"/>
  <c r="G11" i="7" s="1"/>
  <c r="S11" i="7"/>
  <c r="O13" i="7"/>
  <c r="R13" i="7" s="1"/>
  <c r="O15" i="7"/>
  <c r="R15" i="7" s="1"/>
  <c r="R20" i="7"/>
  <c r="O17" i="7"/>
  <c r="R17" i="7" s="1"/>
  <c r="D12" i="7"/>
  <c r="G12" i="7" s="1"/>
  <c r="S20" i="7"/>
  <c r="O18" i="7"/>
  <c r="R18" i="7" s="1"/>
  <c r="H18" i="7"/>
  <c r="J18" i="7" s="1"/>
  <c r="C12" i="5"/>
  <c r="C13" i="5"/>
  <c r="C14" i="5"/>
  <c r="C15" i="5"/>
  <c r="C16" i="5"/>
  <c r="C17" i="5"/>
  <c r="C18" i="5"/>
  <c r="C19" i="5"/>
  <c r="C20" i="5"/>
  <c r="U19" i="7" l="1"/>
  <c r="V19" i="7" s="1"/>
  <c r="V14" i="8"/>
  <c r="J25" i="10"/>
  <c r="V12" i="10"/>
  <c r="U18" i="7"/>
  <c r="V18" i="7" s="1"/>
  <c r="J16" i="7"/>
  <c r="J12" i="7"/>
  <c r="U22" i="8"/>
  <c r="V22" i="8"/>
  <c r="E24" i="8" s="1"/>
  <c r="T22" i="7"/>
  <c r="U16" i="7"/>
  <c r="H22" i="7"/>
  <c r="G22" i="7"/>
  <c r="S22" i="7"/>
  <c r="R22" i="7"/>
  <c r="U17" i="7"/>
  <c r="V17" i="7" s="1"/>
  <c r="U14" i="7"/>
  <c r="U13" i="7"/>
  <c r="U12" i="7"/>
  <c r="U20" i="7"/>
  <c r="V20" i="7" s="1"/>
  <c r="U11" i="7"/>
  <c r="J11" i="7"/>
  <c r="U15" i="7"/>
  <c r="R20" i="5"/>
  <c r="R18" i="5"/>
  <c r="R13" i="5"/>
  <c r="Q17" i="5"/>
  <c r="Q18" i="5"/>
  <c r="Q19" i="5"/>
  <c r="Q20" i="5"/>
  <c r="Q16" i="5"/>
  <c r="O12" i="5"/>
  <c r="U12" i="5" s="1"/>
  <c r="O13" i="5"/>
  <c r="O14" i="5"/>
  <c r="U14" i="5" s="1"/>
  <c r="O15" i="5"/>
  <c r="U15" i="5" s="1"/>
  <c r="O16" i="5"/>
  <c r="U16" i="5" s="1"/>
  <c r="O17" i="5"/>
  <c r="U17" i="5" s="1"/>
  <c r="O18" i="5"/>
  <c r="O19" i="5"/>
  <c r="U19" i="5" s="1"/>
  <c r="O20" i="5"/>
  <c r="O11" i="5"/>
  <c r="U11" i="5" s="1"/>
  <c r="E27" i="10" l="1"/>
  <c r="V16" i="7"/>
  <c r="J22" i="7"/>
  <c r="V15" i="7"/>
  <c r="V14" i="7"/>
  <c r="U22" i="7"/>
  <c r="V12" i="7"/>
  <c r="V13" i="7"/>
  <c r="V11" i="7"/>
  <c r="U13" i="5"/>
  <c r="T17" i="5"/>
  <c r="U18" i="5"/>
  <c r="U20" i="5"/>
  <c r="T16" i="5"/>
  <c r="T20" i="5"/>
  <c r="T19" i="5"/>
  <c r="T18" i="5"/>
  <c r="G20" i="5"/>
  <c r="G19" i="5"/>
  <c r="G18" i="5"/>
  <c r="G17" i="5"/>
  <c r="G16" i="5"/>
  <c r="G15" i="5"/>
  <c r="G14" i="5"/>
  <c r="G13" i="5"/>
  <c r="G12" i="5"/>
  <c r="F17" i="5"/>
  <c r="F18" i="5"/>
  <c r="F19" i="5"/>
  <c r="F20" i="5"/>
  <c r="F16" i="5"/>
  <c r="C11" i="5"/>
  <c r="G11" i="5" s="1"/>
  <c r="D12" i="5"/>
  <c r="D13" i="5"/>
  <c r="D14" i="5"/>
  <c r="D15" i="5"/>
  <c r="D16" i="5"/>
  <c r="D17" i="5"/>
  <c r="D18" i="5"/>
  <c r="D19" i="5"/>
  <c r="D20" i="5"/>
  <c r="D11" i="5"/>
  <c r="N21" i="5"/>
  <c r="B21" i="5"/>
  <c r="E12" i="5" s="1"/>
  <c r="C12" i="1"/>
  <c r="C13" i="1"/>
  <c r="C14" i="1"/>
  <c r="H14" i="1" s="1"/>
  <c r="C15" i="1"/>
  <c r="C16" i="1"/>
  <c r="H16" i="1" s="1"/>
  <c r="C17" i="1"/>
  <c r="H17" i="1" s="1"/>
  <c r="C18" i="1"/>
  <c r="H18" i="1" s="1"/>
  <c r="C19" i="1"/>
  <c r="C20" i="1"/>
  <c r="C11" i="1"/>
  <c r="H11" i="1" s="1"/>
  <c r="V22" i="7" l="1"/>
  <c r="E24" i="7" s="1"/>
  <c r="J12" i="5"/>
  <c r="F12" i="5"/>
  <c r="I12" i="5" s="1"/>
  <c r="F13" i="5"/>
  <c r="F14" i="5"/>
  <c r="I14" i="5" s="1"/>
  <c r="J19" i="5"/>
  <c r="I13" i="5"/>
  <c r="J20" i="5"/>
  <c r="I20" i="1"/>
  <c r="H20" i="1"/>
  <c r="I13" i="1"/>
  <c r="H13" i="1"/>
  <c r="I12" i="1"/>
  <c r="H12" i="1"/>
  <c r="I19" i="1"/>
  <c r="H19" i="1"/>
  <c r="H12" i="5"/>
  <c r="J11" i="5"/>
  <c r="I15" i="1"/>
  <c r="H15" i="1"/>
  <c r="I17" i="5"/>
  <c r="J18" i="5"/>
  <c r="J13" i="5"/>
  <c r="I16" i="5"/>
  <c r="Q11" i="5"/>
  <c r="T11" i="5" s="1"/>
  <c r="Q15" i="5"/>
  <c r="T15" i="5" s="1"/>
  <c r="Q14" i="5"/>
  <c r="T14" i="5" s="1"/>
  <c r="Q12" i="5"/>
  <c r="T12" i="5" s="1"/>
  <c r="Q13" i="5"/>
  <c r="T13" i="5" s="1"/>
  <c r="J15" i="5"/>
  <c r="C21" i="5"/>
  <c r="I19" i="5"/>
  <c r="J16" i="5"/>
  <c r="J14" i="5"/>
  <c r="I20" i="5"/>
  <c r="F11" i="5"/>
  <c r="I11" i="5" s="1"/>
  <c r="I18" i="5"/>
  <c r="J17" i="5"/>
  <c r="E19" i="5"/>
  <c r="H19" i="5" s="1"/>
  <c r="E18" i="5"/>
  <c r="H18" i="5" s="1"/>
  <c r="E16" i="5"/>
  <c r="H16" i="5" s="1"/>
  <c r="E15" i="5"/>
  <c r="E17" i="5"/>
  <c r="H17" i="5" s="1"/>
  <c r="E14" i="5"/>
  <c r="H14" i="5" s="1"/>
  <c r="E11" i="5"/>
  <c r="H11" i="5" s="1"/>
  <c r="E13" i="5"/>
  <c r="H13" i="5" s="1"/>
  <c r="E20" i="5"/>
  <c r="H20" i="5" s="1"/>
  <c r="O21" i="5"/>
  <c r="D21" i="5"/>
  <c r="I11" i="1"/>
  <c r="I18" i="1"/>
  <c r="I17" i="1"/>
  <c r="I16" i="1"/>
  <c r="I14" i="1"/>
  <c r="C21" i="1"/>
  <c r="H15" i="5" l="1"/>
  <c r="H21" i="5" s="1"/>
  <c r="F15" i="5"/>
  <c r="I15" i="5" s="1"/>
  <c r="I21" i="5" s="1"/>
  <c r="P17" i="5"/>
  <c r="S17" i="5" s="1"/>
  <c r="V17" i="5" s="1"/>
  <c r="P12" i="5"/>
  <c r="S12" i="5" s="1"/>
  <c r="P15" i="5"/>
  <c r="S15" i="5" s="1"/>
  <c r="V15" i="5" s="1"/>
  <c r="P16" i="5"/>
  <c r="S16" i="5" s="1"/>
  <c r="V16" i="5" s="1"/>
  <c r="P18" i="5"/>
  <c r="S18" i="5" s="1"/>
  <c r="V18" i="5" s="1"/>
  <c r="P19" i="5"/>
  <c r="S19" i="5" s="1"/>
  <c r="V19" i="5" s="1"/>
  <c r="P20" i="5"/>
  <c r="S20" i="5" s="1"/>
  <c r="V20" i="5" s="1"/>
  <c r="P13" i="5"/>
  <c r="S13" i="5" s="1"/>
  <c r="V13" i="5" s="1"/>
  <c r="P11" i="5"/>
  <c r="S11" i="5" s="1"/>
  <c r="V11" i="5" s="1"/>
  <c r="P14" i="5"/>
  <c r="S14" i="5" s="1"/>
  <c r="V14" i="5" s="1"/>
  <c r="K20" i="5"/>
  <c r="K18" i="5"/>
  <c r="K16" i="5"/>
  <c r="U21" i="5"/>
  <c r="K11" i="5"/>
  <c r="K17" i="5"/>
  <c r="K19" i="5"/>
  <c r="K14" i="5"/>
  <c r="K13" i="5"/>
  <c r="J21" i="5"/>
  <c r="H21" i="1"/>
  <c r="T21" i="5"/>
  <c r="K12" i="5"/>
  <c r="V12" i="5"/>
  <c r="I21" i="1"/>
  <c r="N12" i="1"/>
  <c r="N13" i="1"/>
  <c r="N14" i="1"/>
  <c r="N15" i="1"/>
  <c r="N16" i="1"/>
  <c r="N17" i="1"/>
  <c r="N18" i="1"/>
  <c r="N19" i="1"/>
  <c r="N20" i="1"/>
  <c r="N11" i="1"/>
  <c r="B21" i="1"/>
  <c r="M21" i="1"/>
  <c r="K15" i="5" l="1"/>
  <c r="W15" i="5" s="1"/>
  <c r="S19" i="1"/>
  <c r="T19" i="1"/>
  <c r="T18" i="1"/>
  <c r="S18" i="1"/>
  <c r="S16" i="1"/>
  <c r="T16" i="1"/>
  <c r="S15" i="1"/>
  <c r="T15" i="1"/>
  <c r="S14" i="1"/>
  <c r="T14" i="1"/>
  <c r="T17" i="1"/>
  <c r="S17" i="1"/>
  <c r="T11" i="1"/>
  <c r="S11" i="1"/>
  <c r="S13" i="1"/>
  <c r="T13" i="1"/>
  <c r="T20" i="1"/>
  <c r="S20" i="1"/>
  <c r="T12" i="1"/>
  <c r="S12" i="1"/>
  <c r="S21" i="5"/>
  <c r="W18" i="5"/>
  <c r="W20" i="5"/>
  <c r="W16" i="5"/>
  <c r="W19" i="5"/>
  <c r="W13" i="5"/>
  <c r="W17" i="5"/>
  <c r="W14" i="5"/>
  <c r="W12" i="5"/>
  <c r="V21" i="5"/>
  <c r="W11" i="5"/>
  <c r="D15" i="1"/>
  <c r="G15" i="1" s="1"/>
  <c r="J15" i="1" s="1"/>
  <c r="D19" i="1"/>
  <c r="G19" i="1" s="1"/>
  <c r="J19" i="1" s="1"/>
  <c r="D12" i="1"/>
  <c r="G12" i="1" s="1"/>
  <c r="J12" i="1" s="1"/>
  <c r="D11" i="1"/>
  <c r="G11" i="1" s="1"/>
  <c r="D16" i="1"/>
  <c r="G16" i="1" s="1"/>
  <c r="J16" i="1" s="1"/>
  <c r="D20" i="1"/>
  <c r="G20" i="1" s="1"/>
  <c r="J20" i="1" s="1"/>
  <c r="D14" i="1"/>
  <c r="G14" i="1" s="1"/>
  <c r="J14" i="1" s="1"/>
  <c r="D17" i="1"/>
  <c r="G17" i="1" s="1"/>
  <c r="J17" i="1" s="1"/>
  <c r="D18" i="1"/>
  <c r="G18" i="1" s="1"/>
  <c r="J18" i="1" s="1"/>
  <c r="D13" i="1"/>
  <c r="G13" i="1" s="1"/>
  <c r="J13" i="1" s="1"/>
  <c r="O16" i="1"/>
  <c r="R16" i="1" s="1"/>
  <c r="O19" i="1"/>
  <c r="R19" i="1" s="1"/>
  <c r="O20" i="1"/>
  <c r="R20" i="1" s="1"/>
  <c r="O11" i="1"/>
  <c r="R11" i="1" s="1"/>
  <c r="O18" i="1"/>
  <c r="R18" i="1" s="1"/>
  <c r="O12" i="1"/>
  <c r="R12" i="1" s="1"/>
  <c r="O14" i="1"/>
  <c r="R14" i="1" s="1"/>
  <c r="O13" i="1"/>
  <c r="R13" i="1" s="1"/>
  <c r="O15" i="1"/>
  <c r="R15" i="1" s="1"/>
  <c r="O17" i="1"/>
  <c r="R17" i="1" s="1"/>
  <c r="N21" i="1"/>
  <c r="K21" i="5" l="1"/>
  <c r="W21" i="5"/>
  <c r="U14" i="1"/>
  <c r="V14" i="1" s="1"/>
  <c r="J11" i="1"/>
  <c r="G21" i="1"/>
  <c r="U16" i="1"/>
  <c r="V16" i="1" s="1"/>
  <c r="S21" i="1"/>
  <c r="U11" i="1"/>
  <c r="U17" i="1"/>
  <c r="V17" i="1" s="1"/>
  <c r="U19" i="1"/>
  <c r="V19" i="1" s="1"/>
  <c r="U13" i="1"/>
  <c r="V13" i="1" s="1"/>
  <c r="U18" i="1"/>
  <c r="V18" i="1" s="1"/>
  <c r="U15" i="1"/>
  <c r="V15" i="1" s="1"/>
  <c r="U20" i="1"/>
  <c r="V20" i="1" s="1"/>
  <c r="U12" i="1"/>
  <c r="V12" i="1" s="1"/>
  <c r="T21" i="1"/>
  <c r="R21" i="1"/>
  <c r="J21" i="1" l="1"/>
  <c r="V11" i="1"/>
  <c r="V21" i="1" s="1"/>
  <c r="E23" i="1" s="1"/>
  <c r="U21" i="1"/>
  <c r="O23" i="9"/>
  <c r="R23" i="9" s="1"/>
  <c r="U23" i="9" s="1"/>
  <c r="V23" i="9" s="1"/>
  <c r="O17" i="9"/>
  <c r="R17" i="9" s="1"/>
  <c r="U17" i="9" s="1"/>
  <c r="D19" i="9"/>
  <c r="G19" i="9" s="1"/>
  <c r="J19" i="9" s="1"/>
  <c r="V19" i="9" s="1"/>
  <c r="O12" i="9"/>
  <c r="R12" i="9" s="1"/>
  <c r="U12" i="9" s="1"/>
  <c r="V12" i="9" s="1"/>
  <c r="O15" i="9"/>
  <c r="R15" i="9"/>
  <c r="U15" i="9" s="1"/>
  <c r="O22" i="9"/>
  <c r="R22" i="9"/>
  <c r="U22" i="9" s="1"/>
  <c r="V22" i="9" s="1"/>
  <c r="D13" i="9"/>
  <c r="G13" i="9" s="1"/>
  <c r="O13" i="9"/>
  <c r="R13" i="9" s="1"/>
  <c r="U13" i="9" s="1"/>
  <c r="O16" i="9"/>
  <c r="R16" i="9"/>
  <c r="U16" i="9" s="1"/>
  <c r="V16" i="9" s="1"/>
  <c r="O21" i="9"/>
  <c r="R21" i="9" s="1"/>
  <c r="U21" i="9" s="1"/>
  <c r="V21" i="9" s="1"/>
  <c r="D11" i="9"/>
  <c r="G11" i="9"/>
  <c r="D24" i="9"/>
  <c r="G24" i="9" s="1"/>
  <c r="J24" i="9" s="1"/>
  <c r="D17" i="9"/>
  <c r="G17" i="9"/>
  <c r="J17" i="9" s="1"/>
  <c r="O11" i="9"/>
  <c r="R11" i="9" s="1"/>
  <c r="O24" i="9"/>
  <c r="R24" i="9"/>
  <c r="U24" i="9" s="1"/>
  <c r="O19" i="9"/>
  <c r="R19" i="9"/>
  <c r="U19" i="9" s="1"/>
  <c r="O18" i="9"/>
  <c r="R18" i="9" s="1"/>
  <c r="U18" i="9" s="1"/>
  <c r="V18" i="9" s="1"/>
  <c r="D15" i="9"/>
  <c r="G15" i="9"/>
  <c r="J15" i="9" s="1"/>
  <c r="O20" i="9"/>
  <c r="R20" i="9" s="1"/>
  <c r="U20" i="9" s="1"/>
  <c r="V20" i="9" s="1"/>
  <c r="O14" i="9"/>
  <c r="R14" i="9" s="1"/>
  <c r="U14" i="9" s="1"/>
  <c r="V14" i="9" s="1"/>
  <c r="J11" i="9" l="1"/>
  <c r="G25" i="9"/>
  <c r="V17" i="9"/>
  <c r="V15" i="9"/>
  <c r="V24" i="9"/>
  <c r="J13" i="9"/>
  <c r="V13" i="9" s="1"/>
  <c r="U11" i="9"/>
  <c r="U25" i="9" s="1"/>
  <c r="R25" i="9"/>
  <c r="J25" i="9" l="1"/>
  <c r="V11" i="9"/>
  <c r="V25" i="9" s="1"/>
  <c r="E27"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Alain COIFFIER</author>
  </authors>
  <commentList>
    <comment ref="A2" authorId="0" shapeId="0" xr:uid="{AA777C8E-4488-46C0-909E-78B28C91B731}">
      <text>
        <r>
          <rPr>
            <b/>
            <sz val="9"/>
            <color indexed="81"/>
            <rFont val="Tahoma"/>
            <family val="2"/>
          </rPr>
          <t>Alain COIFFIER:</t>
        </r>
        <r>
          <rPr>
            <sz val="9"/>
            <color indexed="81"/>
            <rFont val="Tahoma"/>
            <family val="2"/>
          </rPr>
          <t xml:space="preserve">
Nombre d'incidents par an pour 100 km</t>
        </r>
      </text>
    </comment>
    <comment ref="I2" authorId="0" shapeId="0" xr:uid="{08329266-1996-45AC-ADF4-6F29B53D2EE1}">
      <text>
        <r>
          <rPr>
            <b/>
            <sz val="9"/>
            <color indexed="81"/>
            <rFont val="Tahoma"/>
            <family val="2"/>
          </rPr>
          <t>Alain COIFFIER:</t>
        </r>
        <r>
          <rPr>
            <sz val="9"/>
            <color indexed="81"/>
            <rFont val="Tahoma"/>
            <family val="2"/>
          </rPr>
          <t xml:space="preserve">
Nombre d'incidents par an pour 100 km</t>
        </r>
      </text>
    </comment>
    <comment ref="A3" authorId="0" shapeId="0" xr:uid="{E2BC2BF3-1E8B-4CCC-89EC-D55523C33C6A}">
      <text>
        <r>
          <rPr>
            <b/>
            <sz val="9"/>
            <color indexed="81"/>
            <rFont val="Tahoma"/>
            <family val="2"/>
          </rPr>
          <t>Alain COIFFIER:</t>
        </r>
        <r>
          <rPr>
            <sz val="9"/>
            <color indexed="81"/>
            <rFont val="Tahoma"/>
            <family val="2"/>
          </rPr>
          <t xml:space="preserve">
Nombre d'incidents par an pour 100 postes</t>
        </r>
      </text>
    </comment>
    <comment ref="I3" authorId="0" shapeId="0" xr:uid="{813AC442-3F0A-4739-B48C-3F61A41ED3B5}">
      <text>
        <r>
          <rPr>
            <b/>
            <sz val="9"/>
            <color indexed="81"/>
            <rFont val="Tahoma"/>
            <family val="2"/>
          </rPr>
          <t>Alain COIFFIER:</t>
        </r>
        <r>
          <rPr>
            <sz val="9"/>
            <color indexed="81"/>
            <rFont val="Tahoma"/>
            <family val="2"/>
          </rPr>
          <t xml:space="preserve">
Durée moyenne pour réparer un incident sur un poste. Sans tenir compte d'une éventuelle ralimentation par le réseau BT ou par groupe.</t>
        </r>
      </text>
    </comment>
    <comment ref="A4" authorId="0" shapeId="0" xr:uid="{1EE494E8-E7F0-41EF-9EF4-8F57F6E49F32}">
      <text>
        <r>
          <rPr>
            <b/>
            <sz val="9"/>
            <color indexed="81"/>
            <rFont val="Tahoma"/>
            <family val="2"/>
          </rPr>
          <t>Alain COIFFIER:</t>
        </r>
        <r>
          <rPr>
            <sz val="9"/>
            <color indexed="81"/>
            <rFont val="Tahoma"/>
            <family val="2"/>
          </rPr>
          <t xml:space="preserve">
C'est le temps entre le déclenchement du départ et la fin de la réalimentation par les télécommandes.</t>
        </r>
      </text>
    </comment>
    <comment ref="A5" authorId="0" shapeId="0" xr:uid="{66B97D1D-EA38-4946-8112-41120A337674}">
      <text>
        <r>
          <rPr>
            <b/>
            <sz val="9"/>
            <color indexed="81"/>
            <rFont val="Tahoma"/>
            <family val="2"/>
          </rPr>
          <t>Alain COIFFIER:</t>
        </r>
        <r>
          <rPr>
            <sz val="9"/>
            <color indexed="81"/>
            <rFont val="Tahoma"/>
            <family val="2"/>
          </rPr>
          <t xml:space="preserve">
C'est le temps entre la fin de la réalimentation par les télécommandes et la fin de la réalimentation par les appareils manuels.</t>
        </r>
      </text>
    </comment>
    <comment ref="A6" authorId="0" shapeId="0" xr:uid="{1993F5CB-0182-4097-90F1-89E3A862D44C}">
      <text>
        <r>
          <rPr>
            <b/>
            <sz val="9"/>
            <color indexed="81"/>
            <rFont val="Tahoma"/>
            <family val="2"/>
          </rPr>
          <t>Alain COIFFIER:</t>
        </r>
        <r>
          <rPr>
            <sz val="9"/>
            <color indexed="81"/>
            <rFont val="Tahoma"/>
            <family val="2"/>
          </rPr>
          <t xml:space="preserve">
Durée moyenne pour réparer un incident sur un poste. Sans tenir compte d'une éventuelle ralimentation par le réseau BT ou par groupe.</t>
        </r>
      </text>
    </comment>
    <comment ref="C8" authorId="0" shapeId="0" xr:uid="{FB1454DF-4DD1-42F1-9EA4-C160EF9B43BC}">
      <text>
        <r>
          <rPr>
            <b/>
            <sz val="9"/>
            <color indexed="81"/>
            <rFont val="Tahoma"/>
            <family val="2"/>
          </rPr>
          <t>Alain COIFFIER:</t>
        </r>
        <r>
          <rPr>
            <sz val="9"/>
            <color indexed="81"/>
            <rFont val="Tahoma"/>
            <family val="2"/>
          </rPr>
          <t xml:space="preserve">
Nombre d'incidents par an</t>
        </r>
      </text>
    </comment>
    <comment ref="N8" authorId="0" shapeId="0" xr:uid="{5888E98F-33A1-4B36-86D2-DA99FB8529E9}">
      <text>
        <r>
          <rPr>
            <b/>
            <sz val="9"/>
            <color indexed="81"/>
            <rFont val="Tahoma"/>
            <family val="2"/>
          </rPr>
          <t>Alain COIFFIER:</t>
        </r>
        <r>
          <rPr>
            <sz val="9"/>
            <color indexed="81"/>
            <rFont val="Tahoma"/>
            <family val="2"/>
          </rPr>
          <t xml:space="preserve">
Nombre d'incidents par an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Alain COIFFIER</author>
  </authors>
  <commentList>
    <comment ref="A2" authorId="0" shapeId="0" xr:uid="{DA03E5DD-C7B5-44E3-9939-FC3FC815D5A4}">
      <text>
        <r>
          <rPr>
            <b/>
            <sz val="9"/>
            <color indexed="81"/>
            <rFont val="Tahoma"/>
            <family val="2"/>
          </rPr>
          <t>Alain COIFFIER:</t>
        </r>
        <r>
          <rPr>
            <sz val="9"/>
            <color indexed="81"/>
            <rFont val="Tahoma"/>
            <family val="2"/>
          </rPr>
          <t xml:space="preserve">
Nombre d'incidents par an pour 100 km</t>
        </r>
      </text>
    </comment>
    <comment ref="H2" authorId="0" shapeId="0" xr:uid="{F2E066CB-743F-4B2D-9600-545982423AC9}">
      <text>
        <r>
          <rPr>
            <b/>
            <sz val="9"/>
            <color indexed="81"/>
            <rFont val="Tahoma"/>
            <family val="2"/>
          </rPr>
          <t>Alain COIFFIER:</t>
        </r>
        <r>
          <rPr>
            <sz val="9"/>
            <color indexed="81"/>
            <rFont val="Tahoma"/>
            <family val="2"/>
          </rPr>
          <t xml:space="preserve">
Nombre d'incidents par an pour 100 km</t>
        </r>
      </text>
    </comment>
    <comment ref="A3" authorId="0" shapeId="0" xr:uid="{70D09B28-3CD0-4719-80F6-71CE9BF3EDDC}">
      <text>
        <r>
          <rPr>
            <b/>
            <sz val="9"/>
            <color indexed="81"/>
            <rFont val="Tahoma"/>
            <family val="2"/>
          </rPr>
          <t>Alain COIFFIER:</t>
        </r>
        <r>
          <rPr>
            <sz val="9"/>
            <color indexed="81"/>
            <rFont val="Tahoma"/>
            <family val="2"/>
          </rPr>
          <t xml:space="preserve">
Nombre d'incidents par an pour 100 postes</t>
        </r>
      </text>
    </comment>
    <comment ref="H3" authorId="0" shapeId="0" xr:uid="{AE050B2A-0984-4233-A597-D386C836D751}">
      <text>
        <r>
          <rPr>
            <b/>
            <sz val="9"/>
            <color indexed="81"/>
            <rFont val="Tahoma"/>
            <family val="2"/>
          </rPr>
          <t>Alain COIFFIER:</t>
        </r>
        <r>
          <rPr>
            <sz val="9"/>
            <color indexed="81"/>
            <rFont val="Tahoma"/>
            <family val="2"/>
          </rPr>
          <t xml:space="preserve">
Durée moyenne pour réparer un incident sur un poste. Sans tenir compte d'une éventuelle ralimentation par le réseau BT ou par groupe.</t>
        </r>
      </text>
    </comment>
    <comment ref="A4" authorId="0" shapeId="0" xr:uid="{B99B63D0-6483-4420-ABE0-F8F05BCBEBC4}">
      <text>
        <r>
          <rPr>
            <b/>
            <sz val="9"/>
            <color indexed="81"/>
            <rFont val="Tahoma"/>
            <family val="2"/>
          </rPr>
          <t>Alain COIFFIER:</t>
        </r>
        <r>
          <rPr>
            <sz val="9"/>
            <color indexed="81"/>
            <rFont val="Tahoma"/>
            <family val="2"/>
          </rPr>
          <t xml:space="preserve">
C'est le temps entre le déclenchement du départ et la fin de la réalimentation par les télécommandes.</t>
        </r>
      </text>
    </comment>
    <comment ref="A5" authorId="0" shapeId="0" xr:uid="{53603177-41EA-4329-A07A-2AC53609DC38}">
      <text>
        <r>
          <rPr>
            <b/>
            <sz val="9"/>
            <color indexed="81"/>
            <rFont val="Tahoma"/>
            <family val="2"/>
          </rPr>
          <t>Alain COIFFIER:</t>
        </r>
        <r>
          <rPr>
            <sz val="9"/>
            <color indexed="81"/>
            <rFont val="Tahoma"/>
            <family val="2"/>
          </rPr>
          <t xml:space="preserve">
C'est le temps entre la fin de la réalimentation par les télécommandes et la fin de la réalimentation par les appareils manuels.</t>
        </r>
      </text>
    </comment>
    <comment ref="A6" authorId="0" shapeId="0" xr:uid="{228737BD-644E-4336-95FF-338D8F28B1E4}">
      <text>
        <r>
          <rPr>
            <b/>
            <sz val="9"/>
            <color indexed="81"/>
            <rFont val="Tahoma"/>
            <family val="2"/>
          </rPr>
          <t>Alain COIFFIER:</t>
        </r>
        <r>
          <rPr>
            <sz val="9"/>
            <color indexed="81"/>
            <rFont val="Tahoma"/>
            <family val="2"/>
          </rPr>
          <t xml:space="preserve">
Durée moyenne pour réparer un incident sur un poste. Sans tenir compte d'une éventuelle ralimentation par le réseau BT ou par groupe.</t>
        </r>
      </text>
    </comment>
    <comment ref="C8" authorId="0" shapeId="0" xr:uid="{756404BF-3BDC-44BE-A081-95A49E941C31}">
      <text>
        <r>
          <rPr>
            <b/>
            <sz val="9"/>
            <color indexed="81"/>
            <rFont val="Tahoma"/>
            <family val="2"/>
          </rPr>
          <t>Alain COIFFIER:</t>
        </r>
        <r>
          <rPr>
            <sz val="9"/>
            <color indexed="81"/>
            <rFont val="Tahoma"/>
            <family val="2"/>
          </rPr>
          <t xml:space="preserve">
Nombre d'incidents par an</t>
        </r>
      </text>
    </comment>
    <comment ref="N8" authorId="0" shapeId="0" xr:uid="{620488B7-9614-4520-8ED2-F638BFA57513}">
      <text>
        <r>
          <rPr>
            <b/>
            <sz val="9"/>
            <color indexed="81"/>
            <rFont val="Tahoma"/>
            <family val="2"/>
          </rPr>
          <t>Alain COIFFIER:</t>
        </r>
        <r>
          <rPr>
            <sz val="9"/>
            <color indexed="81"/>
            <rFont val="Tahoma"/>
            <family val="2"/>
          </rPr>
          <t xml:space="preserve">
Nombre d'incidents par an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Alain COIFFIER</author>
  </authors>
  <commentList>
    <comment ref="A2" authorId="0" shapeId="0" xr:uid="{4E044637-AD4F-476C-91AB-3454362179C2}">
      <text>
        <r>
          <rPr>
            <b/>
            <sz val="9"/>
            <color indexed="81"/>
            <rFont val="Tahoma"/>
            <family val="2"/>
          </rPr>
          <t>Alain COIFFIER:</t>
        </r>
        <r>
          <rPr>
            <sz val="9"/>
            <color indexed="81"/>
            <rFont val="Tahoma"/>
            <family val="2"/>
          </rPr>
          <t xml:space="preserve">
Nombre d'incidents par an pour 100 km</t>
        </r>
      </text>
    </comment>
    <comment ref="H2" authorId="0" shapeId="0" xr:uid="{5FC73536-060D-4998-BF73-2413FF56A1D1}">
      <text>
        <r>
          <rPr>
            <b/>
            <sz val="9"/>
            <color indexed="81"/>
            <rFont val="Tahoma"/>
            <family val="2"/>
          </rPr>
          <t>Alain COIFFIER:</t>
        </r>
        <r>
          <rPr>
            <sz val="9"/>
            <color indexed="81"/>
            <rFont val="Tahoma"/>
            <family val="2"/>
          </rPr>
          <t xml:space="preserve">
Nombre d'incidents par an pour 100 km</t>
        </r>
      </text>
    </comment>
    <comment ref="A3" authorId="0" shapeId="0" xr:uid="{02C6221F-26FC-4B31-9AE4-FC805623E16E}">
      <text>
        <r>
          <rPr>
            <b/>
            <sz val="9"/>
            <color indexed="81"/>
            <rFont val="Tahoma"/>
            <family val="2"/>
          </rPr>
          <t>Alain COIFFIER:</t>
        </r>
        <r>
          <rPr>
            <sz val="9"/>
            <color indexed="81"/>
            <rFont val="Tahoma"/>
            <family val="2"/>
          </rPr>
          <t xml:space="preserve">
Nombre d'incidents par an pour 100 postes</t>
        </r>
      </text>
    </comment>
    <comment ref="H3" authorId="0" shapeId="0" xr:uid="{5302BAA6-81D4-4038-A27E-3BE2CAE7499E}">
      <text>
        <r>
          <rPr>
            <b/>
            <sz val="9"/>
            <color indexed="81"/>
            <rFont val="Tahoma"/>
            <family val="2"/>
          </rPr>
          <t>Alain COIFFIER:</t>
        </r>
        <r>
          <rPr>
            <sz val="9"/>
            <color indexed="81"/>
            <rFont val="Tahoma"/>
            <family val="2"/>
          </rPr>
          <t xml:space="preserve">
Durée moyenne pour réparer un incident sur un poste. Sans tenir compte d'une éventuelle ralimentation par le réseau BT ou par groupe.</t>
        </r>
      </text>
    </comment>
    <comment ref="A4" authorId="0" shapeId="0" xr:uid="{44773FC8-ABE5-4F9B-89B3-FFB16E16F9C5}">
      <text>
        <r>
          <rPr>
            <b/>
            <sz val="9"/>
            <color indexed="81"/>
            <rFont val="Tahoma"/>
            <family val="2"/>
          </rPr>
          <t>Alain COIFFIER:</t>
        </r>
        <r>
          <rPr>
            <sz val="9"/>
            <color indexed="81"/>
            <rFont val="Tahoma"/>
            <family val="2"/>
          </rPr>
          <t xml:space="preserve">
C'est le temps entre le déclenchement du départ et la fin de la réalimentation par les télécommandes.</t>
        </r>
      </text>
    </comment>
    <comment ref="A5" authorId="0" shapeId="0" xr:uid="{8AE42182-B110-4141-801A-B1B4FCD5D2CF}">
      <text>
        <r>
          <rPr>
            <b/>
            <sz val="9"/>
            <color indexed="81"/>
            <rFont val="Tahoma"/>
            <family val="2"/>
          </rPr>
          <t>Alain COIFFIER:</t>
        </r>
        <r>
          <rPr>
            <sz val="9"/>
            <color indexed="81"/>
            <rFont val="Tahoma"/>
            <family val="2"/>
          </rPr>
          <t xml:space="preserve">
C'est le temps entre la fin de la réalimentation par les télécommandes et la fin de la réalimentation par les appareils manuels.</t>
        </r>
      </text>
    </comment>
    <comment ref="A6" authorId="0" shapeId="0" xr:uid="{A7B3E70D-CECA-472A-B7D3-12B3999530F7}">
      <text>
        <r>
          <rPr>
            <b/>
            <sz val="9"/>
            <color indexed="81"/>
            <rFont val="Tahoma"/>
            <family val="2"/>
          </rPr>
          <t>Alain COIFFIER:</t>
        </r>
        <r>
          <rPr>
            <sz val="9"/>
            <color indexed="81"/>
            <rFont val="Tahoma"/>
            <family val="2"/>
          </rPr>
          <t xml:space="preserve">
Durée moyenne pour réparer un incident sur un poste. Sans tenir compte d'une éventuelle ralimentation par le réseau BT ou par groupe.</t>
        </r>
      </text>
    </comment>
    <comment ref="C8" authorId="0" shapeId="0" xr:uid="{5DDDC7B2-EE6F-4E4C-8F6C-5D4E61049A54}">
      <text>
        <r>
          <rPr>
            <b/>
            <sz val="9"/>
            <color indexed="81"/>
            <rFont val="Tahoma"/>
            <family val="2"/>
          </rPr>
          <t>Alain COIFFIER:</t>
        </r>
        <r>
          <rPr>
            <sz val="9"/>
            <color indexed="81"/>
            <rFont val="Tahoma"/>
            <family val="2"/>
          </rPr>
          <t xml:space="preserve">
Nombre d'incidents par an</t>
        </r>
      </text>
    </comment>
    <comment ref="N8" authorId="0" shapeId="0" xr:uid="{B7A31EA2-3011-446B-8741-9228C15A8245}">
      <text>
        <r>
          <rPr>
            <b/>
            <sz val="9"/>
            <color indexed="81"/>
            <rFont val="Tahoma"/>
            <family val="2"/>
          </rPr>
          <t>Alain COIFFIER:</t>
        </r>
        <r>
          <rPr>
            <sz val="9"/>
            <color indexed="81"/>
            <rFont val="Tahoma"/>
            <family val="2"/>
          </rPr>
          <t xml:space="preserve">
Nombre d'incidents par an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Alain COIFFIER</author>
  </authors>
  <commentList>
    <comment ref="A2" authorId="0" shapeId="0" xr:uid="{7525C929-9E9A-4829-8D4A-DEC26198361B}">
      <text>
        <r>
          <rPr>
            <b/>
            <sz val="9"/>
            <color indexed="81"/>
            <rFont val="Tahoma"/>
            <family val="2"/>
          </rPr>
          <t>Alain COIFFIER:</t>
        </r>
        <r>
          <rPr>
            <sz val="9"/>
            <color indexed="81"/>
            <rFont val="Tahoma"/>
            <family val="2"/>
          </rPr>
          <t xml:space="preserve">
Nombre d'incidents par an pour 100 km</t>
        </r>
      </text>
    </comment>
    <comment ref="I2" authorId="0" shapeId="0" xr:uid="{46FC07B9-F598-4B60-9A71-B8850E03C7E9}">
      <text>
        <r>
          <rPr>
            <b/>
            <sz val="9"/>
            <color indexed="81"/>
            <rFont val="Tahoma"/>
            <family val="2"/>
          </rPr>
          <t>Alain COIFFIER:</t>
        </r>
        <r>
          <rPr>
            <sz val="9"/>
            <color indexed="81"/>
            <rFont val="Tahoma"/>
            <family val="2"/>
          </rPr>
          <t xml:space="preserve">
Nombre d'incidents par an pour 100 km</t>
        </r>
      </text>
    </comment>
    <comment ref="A3" authorId="0" shapeId="0" xr:uid="{82457C50-96B0-4E68-B405-D6A3F8F94EDE}">
      <text>
        <r>
          <rPr>
            <b/>
            <sz val="9"/>
            <color indexed="81"/>
            <rFont val="Tahoma"/>
            <family val="2"/>
          </rPr>
          <t>Alain COIFFIER:</t>
        </r>
        <r>
          <rPr>
            <sz val="9"/>
            <color indexed="81"/>
            <rFont val="Tahoma"/>
            <family val="2"/>
          </rPr>
          <t xml:space="preserve">
Nombre d'incidents par an pour 100 postes</t>
        </r>
      </text>
    </comment>
    <comment ref="I3" authorId="0" shapeId="0" xr:uid="{D0143FC6-3BBC-4288-ACA0-CCFF573E34C1}">
      <text>
        <r>
          <rPr>
            <b/>
            <sz val="9"/>
            <color indexed="81"/>
            <rFont val="Tahoma"/>
            <family val="2"/>
          </rPr>
          <t>Alain COIFFIER:</t>
        </r>
        <r>
          <rPr>
            <sz val="9"/>
            <color indexed="81"/>
            <rFont val="Tahoma"/>
            <family val="2"/>
          </rPr>
          <t xml:space="preserve">
Durée moyenne pour réparer un incident sur un poste. Sans tenir compte d'une éventuelle ralimentation par le réseau BT ou par groupe.</t>
        </r>
      </text>
    </comment>
    <comment ref="A4" authorId="0" shapeId="0" xr:uid="{735A1998-5E2D-42A9-B92A-48C1B09D7E34}">
      <text>
        <r>
          <rPr>
            <b/>
            <sz val="9"/>
            <color indexed="81"/>
            <rFont val="Tahoma"/>
            <family val="2"/>
          </rPr>
          <t>Alain COIFFIER:</t>
        </r>
        <r>
          <rPr>
            <sz val="9"/>
            <color indexed="81"/>
            <rFont val="Tahoma"/>
            <family val="2"/>
          </rPr>
          <t xml:space="preserve">
C'est le temps entre le déclenchement du départ et la fin de la réalimentation par les télécommandes.</t>
        </r>
      </text>
    </comment>
    <comment ref="A5" authorId="0" shapeId="0" xr:uid="{59160E73-5DB7-4D71-9F81-4142EC3D8DE3}">
      <text>
        <r>
          <rPr>
            <b/>
            <sz val="9"/>
            <color indexed="81"/>
            <rFont val="Tahoma"/>
            <family val="2"/>
          </rPr>
          <t>Alain COIFFIER:</t>
        </r>
        <r>
          <rPr>
            <sz val="9"/>
            <color indexed="81"/>
            <rFont val="Tahoma"/>
            <family val="2"/>
          </rPr>
          <t xml:space="preserve">
C'est le temps entre la fin de la réalimentation par les télécommandes et la fin de la réalimentation par les appareils manuels.</t>
        </r>
      </text>
    </comment>
    <comment ref="A6" authorId="0" shapeId="0" xr:uid="{EB079682-74BC-498B-916E-29EE6F877EA4}">
      <text>
        <r>
          <rPr>
            <b/>
            <sz val="9"/>
            <color indexed="81"/>
            <rFont val="Tahoma"/>
            <family val="2"/>
          </rPr>
          <t>Alain COIFFIER:</t>
        </r>
        <r>
          <rPr>
            <sz val="9"/>
            <color indexed="81"/>
            <rFont val="Tahoma"/>
            <family val="2"/>
          </rPr>
          <t xml:space="preserve">
Durée moyenne pour réparer un incident sur un poste. Sans tenir compte d'une éventuelle ralimentation par le réseau BT ou par groupe.</t>
        </r>
      </text>
    </comment>
    <comment ref="C8" authorId="0" shapeId="0" xr:uid="{FA1E6EBE-A740-4074-8336-A7DF4966705A}">
      <text>
        <r>
          <rPr>
            <b/>
            <sz val="9"/>
            <color indexed="81"/>
            <rFont val="Tahoma"/>
            <family val="2"/>
          </rPr>
          <t>Alain COIFFIER:</t>
        </r>
        <r>
          <rPr>
            <sz val="9"/>
            <color indexed="81"/>
            <rFont val="Tahoma"/>
            <family val="2"/>
          </rPr>
          <t xml:space="preserve">
Nombre d'incidents par an</t>
        </r>
      </text>
    </comment>
    <comment ref="N8" authorId="0" shapeId="0" xr:uid="{5C4E82C8-151F-4703-9588-19C2102BB86D}">
      <text>
        <r>
          <rPr>
            <b/>
            <sz val="9"/>
            <color indexed="81"/>
            <rFont val="Tahoma"/>
            <family val="2"/>
          </rPr>
          <t>Alain COIFFIER:</t>
        </r>
        <r>
          <rPr>
            <sz val="9"/>
            <color indexed="81"/>
            <rFont val="Tahoma"/>
            <family val="2"/>
          </rPr>
          <t xml:space="preserve">
Nombre d'incidents par an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Alain COIFFIER</author>
  </authors>
  <commentList>
    <comment ref="A2" authorId="0" shapeId="0" xr:uid="{00000000-0006-0000-0000-000001000000}">
      <text>
        <r>
          <rPr>
            <b/>
            <sz val="9"/>
            <color indexed="81"/>
            <rFont val="Tahoma"/>
            <family val="2"/>
          </rPr>
          <t>Alain COIFFIER:</t>
        </r>
        <r>
          <rPr>
            <sz val="9"/>
            <color indexed="81"/>
            <rFont val="Tahoma"/>
            <family val="2"/>
          </rPr>
          <t xml:space="preserve">
Nombre d'incidents par an pour 100 km</t>
        </r>
      </text>
    </comment>
    <comment ref="A3" authorId="0" shapeId="0" xr:uid="{00000000-0006-0000-0000-000002000000}">
      <text>
        <r>
          <rPr>
            <b/>
            <sz val="9"/>
            <color indexed="81"/>
            <rFont val="Tahoma"/>
            <family val="2"/>
          </rPr>
          <t>Alain COIFFIER:</t>
        </r>
        <r>
          <rPr>
            <sz val="9"/>
            <color indexed="81"/>
            <rFont val="Tahoma"/>
            <family val="2"/>
          </rPr>
          <t xml:space="preserve">
Nombre d'incidents par an pour 100 postes</t>
        </r>
      </text>
    </comment>
    <comment ref="A4" authorId="0" shapeId="0" xr:uid="{00000000-0006-0000-0000-000003000000}">
      <text>
        <r>
          <rPr>
            <b/>
            <sz val="9"/>
            <color indexed="81"/>
            <rFont val="Tahoma"/>
            <family val="2"/>
          </rPr>
          <t>Alain COIFFIER:</t>
        </r>
        <r>
          <rPr>
            <sz val="9"/>
            <color indexed="81"/>
            <rFont val="Tahoma"/>
            <family val="2"/>
          </rPr>
          <t xml:space="preserve">
C'est le temps entre le déclenchement du départ et la fin de la réalimentation par les télécommandes.</t>
        </r>
      </text>
    </comment>
    <comment ref="A5" authorId="0" shapeId="0" xr:uid="{00000000-0006-0000-0000-000004000000}">
      <text>
        <r>
          <rPr>
            <b/>
            <sz val="9"/>
            <color indexed="81"/>
            <rFont val="Tahoma"/>
            <family val="2"/>
          </rPr>
          <t>Alain COIFFIER:</t>
        </r>
        <r>
          <rPr>
            <sz val="9"/>
            <color indexed="81"/>
            <rFont val="Tahoma"/>
            <family val="2"/>
          </rPr>
          <t xml:space="preserve">
C'est le temps entre la fin de la réalimentation par les télécommandes et la fin de la réalimentation par les appareils manuels.</t>
        </r>
      </text>
    </comment>
    <comment ref="A6" authorId="0" shapeId="0" xr:uid="{00000000-0006-0000-0000-000005000000}">
      <text>
        <r>
          <rPr>
            <b/>
            <sz val="9"/>
            <color indexed="81"/>
            <rFont val="Tahoma"/>
            <family val="2"/>
          </rPr>
          <t>Alain COIFFIER:</t>
        </r>
        <r>
          <rPr>
            <sz val="9"/>
            <color indexed="81"/>
            <rFont val="Tahoma"/>
            <family val="2"/>
          </rPr>
          <t xml:space="preserve">
Durée moyenne pour réparer un incident sur un poste. Sans tenir compte d'une éventuelle ralimentation par le réseau BT ou par groupe.</t>
        </r>
      </text>
    </comment>
    <comment ref="C8" authorId="0" shapeId="0" xr:uid="{00000000-0006-0000-0000-000006000000}">
      <text>
        <r>
          <rPr>
            <b/>
            <sz val="9"/>
            <color indexed="81"/>
            <rFont val="Tahoma"/>
            <family val="2"/>
          </rPr>
          <t>Alain COIFFIER:</t>
        </r>
        <r>
          <rPr>
            <sz val="9"/>
            <color indexed="81"/>
            <rFont val="Tahoma"/>
            <family val="2"/>
          </rPr>
          <t xml:space="preserve">
Nombre d'incidents par an</t>
        </r>
      </text>
    </comment>
    <comment ref="N8" authorId="0" shapeId="0" xr:uid="{00000000-0006-0000-0000-000007000000}">
      <text>
        <r>
          <rPr>
            <b/>
            <sz val="9"/>
            <color indexed="81"/>
            <rFont val="Tahoma"/>
            <family val="2"/>
          </rPr>
          <t>Alain COIFFIER:</t>
        </r>
        <r>
          <rPr>
            <sz val="9"/>
            <color indexed="81"/>
            <rFont val="Tahoma"/>
            <family val="2"/>
          </rPr>
          <t xml:space="preserve">
Nombre d'incidents par an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Alain COIFFIER</author>
  </authors>
  <commentList>
    <comment ref="U1" authorId="0" shapeId="0" xr:uid="{2A23CDB5-A461-4F94-93DE-C5F391674031}">
      <text>
        <r>
          <rPr>
            <b/>
            <sz val="9"/>
            <color indexed="81"/>
            <rFont val="Tahoma"/>
            <family val="2"/>
          </rPr>
          <t>Alain COIFFIER:</t>
        </r>
        <r>
          <rPr>
            <sz val="9"/>
            <color indexed="81"/>
            <rFont val="Tahoma"/>
            <family val="2"/>
          </rPr>
          <t xml:space="preserve">
C'est le temps entre le déclenchement du départ et la fin de la réalimentation par les télécommandes.</t>
        </r>
      </text>
    </comment>
    <comment ref="A2" authorId="0" shapeId="0" xr:uid="{00000000-0006-0000-0100-000001000000}">
      <text>
        <r>
          <rPr>
            <b/>
            <sz val="9"/>
            <color indexed="81"/>
            <rFont val="Tahoma"/>
            <family val="2"/>
          </rPr>
          <t>Alain COIFFIER:</t>
        </r>
        <r>
          <rPr>
            <sz val="9"/>
            <color indexed="81"/>
            <rFont val="Tahoma"/>
            <family val="2"/>
          </rPr>
          <t xml:space="preserve">
Pour obtenir la puissance moyenne, on multiplie par H et on divise par 8760.</t>
        </r>
      </text>
    </comment>
    <comment ref="U2" authorId="0" shapeId="0" xr:uid="{B61462A3-9023-4A4A-8D1D-DF8A699A9607}">
      <text>
        <r>
          <rPr>
            <b/>
            <sz val="9"/>
            <color indexed="81"/>
            <rFont val="Tahoma"/>
            <family val="2"/>
          </rPr>
          <t>Alain COIFFIER:</t>
        </r>
        <r>
          <rPr>
            <sz val="9"/>
            <color indexed="81"/>
            <rFont val="Tahoma"/>
            <family val="2"/>
          </rPr>
          <t xml:space="preserve">
C'est le temps entre la fin de la réalimentation par les télécommandes et la fin de la réalimentation par les appareils manuels.</t>
        </r>
      </text>
    </comment>
    <comment ref="U3" authorId="0" shapeId="0" xr:uid="{2DB33F6A-D1AC-4DF0-B715-4D0A044858F3}">
      <text>
        <r>
          <rPr>
            <b/>
            <sz val="9"/>
            <color indexed="81"/>
            <rFont val="Tahoma"/>
            <family val="2"/>
          </rPr>
          <t>Alain COIFFIER:</t>
        </r>
        <r>
          <rPr>
            <sz val="9"/>
            <color indexed="81"/>
            <rFont val="Tahoma"/>
            <family val="2"/>
          </rPr>
          <t xml:space="preserve">
Durée moyenne pour réparer un incident sur un poste. Sans tenir compte d'une éventuelle ralimentation par le réseau BT ou par groupe.</t>
        </r>
      </text>
    </comment>
    <comment ref="D8" authorId="0" shapeId="0" xr:uid="{00000000-0006-0000-0100-000002000000}">
      <text>
        <r>
          <rPr>
            <b/>
            <sz val="9"/>
            <color indexed="81"/>
            <rFont val="Tahoma"/>
            <family val="2"/>
          </rPr>
          <t>Alain COIFFIER:</t>
        </r>
        <r>
          <rPr>
            <sz val="9"/>
            <color indexed="81"/>
            <rFont val="Tahoma"/>
            <family val="2"/>
          </rPr>
          <t xml:space="preserve">
Nombre d'incidents par an</t>
        </r>
      </text>
    </comment>
    <comment ref="O8" authorId="0" shapeId="0" xr:uid="{00000000-0006-0000-0100-000003000000}">
      <text>
        <r>
          <rPr>
            <b/>
            <sz val="9"/>
            <color indexed="81"/>
            <rFont val="Tahoma"/>
            <family val="2"/>
          </rPr>
          <t>Alain COIFFIER:</t>
        </r>
        <r>
          <rPr>
            <sz val="9"/>
            <color indexed="81"/>
            <rFont val="Tahoma"/>
            <family val="2"/>
          </rPr>
          <t xml:space="preserve">
Nombre d'incidents par an</t>
        </r>
      </text>
    </comment>
  </commentList>
</comments>
</file>

<file path=xl/sharedStrings.xml><?xml version="1.0" encoding="utf-8"?>
<sst xmlns="http://schemas.openxmlformats.org/spreadsheetml/2006/main" count="449" uniqueCount="85">
  <si>
    <t>Tronçons</t>
  </si>
  <si>
    <t>T1</t>
  </si>
  <si>
    <t>T2</t>
  </si>
  <si>
    <t>T3</t>
  </si>
  <si>
    <t>T4</t>
  </si>
  <si>
    <t>T5</t>
  </si>
  <si>
    <t>T6</t>
  </si>
  <si>
    <t>T7</t>
  </si>
  <si>
    <t>T8</t>
  </si>
  <si>
    <t>T9</t>
  </si>
  <si>
    <t>T10</t>
  </si>
  <si>
    <t>Long. (km)</t>
  </si>
  <si>
    <t>Total</t>
  </si>
  <si>
    <t>Postes</t>
  </si>
  <si>
    <t>P1</t>
  </si>
  <si>
    <t>P2</t>
  </si>
  <si>
    <t>P3</t>
  </si>
  <si>
    <t>P4</t>
  </si>
  <si>
    <t>P5</t>
  </si>
  <si>
    <t>P6</t>
  </si>
  <si>
    <t>P7</t>
  </si>
  <si>
    <t>P8</t>
  </si>
  <si>
    <t>P9</t>
  </si>
  <si>
    <t>P10</t>
  </si>
  <si>
    <t>Paramètres</t>
  </si>
  <si>
    <t>Nbre incidents</t>
  </si>
  <si>
    <t>Nbre de transfos coupés x T</t>
  </si>
  <si>
    <t xml:space="preserve">Nbre de transfos coupés </t>
  </si>
  <si>
    <t>Après incident</t>
  </si>
  <si>
    <t>Téléco.</t>
  </si>
  <si>
    <t>Manu</t>
  </si>
  <si>
    <t>Après manœuvres</t>
  </si>
  <si>
    <t>Total général</t>
  </si>
  <si>
    <t>minutes</t>
  </si>
  <si>
    <t>END (kWh)</t>
  </si>
  <si>
    <t>Puissance coupée (kW)</t>
  </si>
  <si>
    <t>Paramètres supplémentaires</t>
  </si>
  <si>
    <t>P à la pointe du départ (kVA)</t>
  </si>
  <si>
    <t>Autres paramètres (voir feuille "Calcul critère B")</t>
  </si>
  <si>
    <t>Pmoy. à la pointe du départ (kW)</t>
  </si>
  <si>
    <t>Le temps de coupure obtenu par le calcul du critère B est différent de celui calculé à partir de l'END. Cette différence provient du fait que les points de charge n'ont pas le même poids dans les deux calculs (1 transfo par PDL dans le calcul du critère B - puissance moyenne du PDL dans le calcul de l'END).</t>
  </si>
  <si>
    <t>站点</t>
    <phoneticPr fontId="8" type="noConversion"/>
  </si>
  <si>
    <t>负荷数</t>
    <phoneticPr fontId="8" type="noConversion"/>
  </si>
  <si>
    <t>年故障次数</t>
    <phoneticPr fontId="8" type="noConversion"/>
  </si>
  <si>
    <t>三遥</t>
    <phoneticPr fontId="8" type="noConversion"/>
  </si>
  <si>
    <t>人工</t>
    <phoneticPr fontId="8" type="noConversion"/>
  </si>
  <si>
    <t>隔离故障前失电负荷数</t>
    <phoneticPr fontId="8" type="noConversion"/>
  </si>
  <si>
    <t>隔离故障后失电负荷数</t>
    <phoneticPr fontId="8" type="noConversion"/>
  </si>
  <si>
    <t>隔离操作后断电时长</t>
    <phoneticPr fontId="8" type="noConversion"/>
  </si>
  <si>
    <t>隔离故障前断电时长</t>
    <phoneticPr fontId="8" type="noConversion"/>
  </si>
  <si>
    <t>线路段</t>
    <phoneticPr fontId="8" type="noConversion"/>
  </si>
  <si>
    <t>长度（千米）</t>
    <phoneticPr fontId="8" type="noConversion"/>
  </si>
  <si>
    <t>电缆年故障次数（每百公里）</t>
    <phoneticPr fontId="8" type="noConversion"/>
  </si>
  <si>
    <t>站点年故障次数（每百站点）</t>
    <phoneticPr fontId="8" type="noConversion"/>
  </si>
  <si>
    <t>三遥动作时间（分钟）</t>
    <phoneticPr fontId="8" type="noConversion"/>
  </si>
  <si>
    <t>人工隔离故障时间（分钟）</t>
    <phoneticPr fontId="8" type="noConversion"/>
  </si>
  <si>
    <t>年均停电时间</t>
    <phoneticPr fontId="8" type="noConversion"/>
  </si>
  <si>
    <t>各站点故障停电时长=（三遥操作前停电时长+三遥操作后人工操作前停电时长+人工操作后至故障恢复停电时长）*站点年故障次数</t>
    <phoneticPr fontId="8" type="noConversion"/>
  </si>
  <si>
    <t>人工操作后至故障恢复停电时长=人工隔离故障后失电负荷*故障恢复时长</t>
    <phoneticPr fontId="8" type="noConversion"/>
  </si>
  <si>
    <t>故障恢复时间（小时）</t>
    <phoneticPr fontId="8" type="noConversion"/>
  </si>
  <si>
    <t>三遥操作前停电时长=失电负荷数*三遥动作时长</t>
  </si>
  <si>
    <t>三遥操作后人工操作前停电时长=三遥操作后失电负荷数*人工隔离故障时长</t>
  </si>
  <si>
    <t>线路段故障停电时长=∑各线路段故障停电时长</t>
    <phoneticPr fontId="8" type="noConversion"/>
  </si>
  <si>
    <t>各站点故障停电时长=（三遥操作前停电时长+三遥操作后人工操作前停电时长+人工操作后至故障恢复停电时长）*线路段年故障次数</t>
    <phoneticPr fontId="8" type="noConversion"/>
  </si>
  <si>
    <t>人工操作后至故障恢复停电时长=人工隔离故障后失电负荷数*故障恢复时长</t>
    <phoneticPr fontId="8" type="noConversion"/>
  </si>
  <si>
    <t>最大功率利用小时数</t>
    <phoneticPr fontId="8" type="noConversion"/>
  </si>
  <si>
    <t>功率因素</t>
    <phoneticPr fontId="8" type="noConversion"/>
  </si>
  <si>
    <t>线路站点故障缺供电量=（三遥操作前缺供电量+三遥操作后人工操作前缺供电量+人工操作后至故障恢复缺供电量）*站点年故障次数</t>
    <phoneticPr fontId="8" type="noConversion"/>
  </si>
  <si>
    <t>线路段故障缺供电量=（三遥操作前缺供电量+三遥操作后人工操作前缺供电量+人工操作后至故障恢复缺供电量）*线路段年故障次数</t>
    <phoneticPr fontId="8" type="noConversion"/>
  </si>
  <si>
    <t>区域年均停电时长=（站点故障停电时长+线路段故障停电时长）/总负荷点数量</t>
    <phoneticPr fontId="8" type="noConversion"/>
  </si>
  <si>
    <t>站点故障停电时长=∑各站点故障停电时长</t>
    <phoneticPr fontId="8" type="noConversion"/>
  </si>
  <si>
    <t>缺供电量=∑（站点故障缺供电量+线路段故障缺供电量）</t>
    <phoneticPr fontId="8" type="noConversion"/>
  </si>
  <si>
    <t>三遥操作前缺供电量=断电功率*三遥操作时长</t>
    <phoneticPr fontId="8" type="noConversion"/>
  </si>
  <si>
    <t>三遥操作后人工操作前缺供电量=三遥操作后断电功率*人工操作时长</t>
    <phoneticPr fontId="8" type="noConversion"/>
  </si>
  <si>
    <t>人工操作后至故障恢复缺供电量=人工操作后断电功率*故障恢复时长</t>
    <phoneticPr fontId="8" type="noConversion"/>
  </si>
  <si>
    <t>断电功率=∑断电负荷平均功率</t>
    <phoneticPr fontId="8" type="noConversion"/>
  </si>
  <si>
    <t>新建电缆年故障次数（每百公里）</t>
    <phoneticPr fontId="8" type="noConversion"/>
  </si>
  <si>
    <t>P11</t>
  </si>
  <si>
    <t>T11</t>
  </si>
  <si>
    <t>T12</t>
  </si>
  <si>
    <t>T13</t>
  </si>
  <si>
    <t>T14</t>
  </si>
  <si>
    <t>P12</t>
  </si>
  <si>
    <t>P13</t>
  </si>
  <si>
    <t>P14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</si>
</sst>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000"/>
    <numFmt numFmtId="177" formatCode="0.0"/>
    <numFmt numFmtId="178" formatCode="0.000"/>
    <numFmt numFmtId="179" formatCode="0.0000"/>
  </numFmts>
  <fonts count="12" x14ac:knownFonts="1">
    <font>
      <sz val="11"/>
      <color theme="1"/>
      <name val="Times New Roman"/>
      <family val="2"/>
    </font>
    <font>
      <b/>
      <sz val="11"/>
      <color theme="1"/>
      <name val="Times New Roman"/>
      <family val="1"/>
    </font>
    <font>
      <b/>
      <sz val="11"/>
      <color rgb="FFFF0000"/>
      <name val="Times New Roman"/>
      <family val="1"/>
    </font>
    <font>
      <sz val="9"/>
      <color indexed="81"/>
      <name val="Tahoma"/>
      <family val="2"/>
    </font>
    <font>
      <b/>
      <sz val="9"/>
      <color indexed="81"/>
      <name val="Tahoma"/>
      <family val="2"/>
    </font>
    <font>
      <b/>
      <sz val="11"/>
      <color rgb="FF0070C0"/>
      <name val="Times New Roman"/>
      <family val="1"/>
    </font>
    <font>
      <sz val="11"/>
      <color rgb="FF0070C0"/>
      <name val="Times New Roman"/>
      <family val="2"/>
    </font>
    <font>
      <sz val="11"/>
      <color rgb="FFFF0000"/>
      <name val="Times New Roman"/>
      <family val="2"/>
    </font>
    <font>
      <sz val="9"/>
      <name val="宋体"/>
      <family val="3"/>
      <charset val="134"/>
    </font>
    <font>
      <sz val="11"/>
      <color rgb="FF0070C0"/>
      <name val="宋体"/>
      <family val="3"/>
      <charset val="134"/>
    </font>
    <font>
      <sz val="11"/>
      <color theme="1"/>
      <name val="宋体"/>
      <family val="3"/>
      <charset val="134"/>
    </font>
    <font>
      <b/>
      <sz val="11"/>
      <color theme="1"/>
      <name val="宋体"/>
      <family val="3"/>
      <charset val="134"/>
    </font>
  </fonts>
  <fills count="6">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rgb="FFFFC000"/>
        <bgColor indexed="64"/>
      </patternFill>
    </fill>
    <fill>
      <patternFill patternType="solid">
        <fgColor rgb="FFFFFF0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96">
    <xf numFmtId="0" fontId="0" fillId="0" borderId="0" xfId="0"/>
    <xf numFmtId="0" fontId="1" fillId="0" borderId="0" xfId="0" applyFont="1"/>
    <xf numFmtId="0" fontId="2" fillId="0" borderId="1" xfId="0" applyFont="1" applyBorder="1"/>
    <xf numFmtId="0" fontId="6" fillId="0" borderId="0" xfId="0" applyFont="1"/>
    <xf numFmtId="177" fontId="6" fillId="0" borderId="0" xfId="0" applyNumberFormat="1" applyFont="1"/>
    <xf numFmtId="1" fontId="6" fillId="0" borderId="0" xfId="0" applyNumberFormat="1" applyFont="1"/>
    <xf numFmtId="0" fontId="0" fillId="0" borderId="1" xfId="0" applyBorder="1"/>
    <xf numFmtId="2" fontId="0" fillId="0" borderId="1" xfId="0" applyNumberFormat="1" applyBorder="1"/>
    <xf numFmtId="176" fontId="0" fillId="0" borderId="1" xfId="0" applyNumberFormat="1" applyBorder="1"/>
    <xf numFmtId="1" fontId="0" fillId="0" borderId="1" xfId="0" applyNumberFormat="1" applyBorder="1"/>
    <xf numFmtId="0" fontId="1" fillId="0" borderId="1" xfId="0" applyFont="1" applyBorder="1"/>
    <xf numFmtId="2" fontId="1" fillId="0" borderId="1" xfId="0" applyNumberFormat="1" applyFont="1" applyBorder="1"/>
    <xf numFmtId="176" fontId="1" fillId="0" borderId="1" xfId="0" applyNumberFormat="1" applyFont="1" applyBorder="1"/>
    <xf numFmtId="1" fontId="1" fillId="0" borderId="1" xfId="0" applyNumberFormat="1" applyFont="1" applyBorder="1"/>
    <xf numFmtId="0" fontId="0" fillId="0" borderId="1" xfId="0" applyBorder="1" applyAlignment="1">
      <alignment horizontal="center" vertical="center"/>
    </xf>
    <xf numFmtId="1" fontId="7" fillId="0" borderId="1" xfId="0" applyNumberFormat="1" applyFont="1" applyBorder="1"/>
    <xf numFmtId="0" fontId="2" fillId="0" borderId="1" xfId="0" applyFont="1" applyBorder="1" applyAlignment="1">
      <alignment vertical="center"/>
    </xf>
    <xf numFmtId="0" fontId="6" fillId="0" borderId="0" xfId="0" applyFont="1" applyBorder="1" applyAlignment="1">
      <alignment horizontal="left" wrapText="1"/>
    </xf>
    <xf numFmtId="179" fontId="0" fillId="0" borderId="1" xfId="0" applyNumberFormat="1" applyBorder="1"/>
    <xf numFmtId="179" fontId="1" fillId="0" borderId="1" xfId="0" applyNumberFormat="1" applyFont="1" applyBorder="1"/>
    <xf numFmtId="2" fontId="7" fillId="0" borderId="1" xfId="0" applyNumberFormat="1" applyFont="1" applyBorder="1"/>
    <xf numFmtId="0" fontId="2" fillId="0" borderId="1" xfId="0" applyFont="1" applyBorder="1" applyAlignment="1">
      <alignment horizontal="center" vertical="center"/>
    </xf>
    <xf numFmtId="0" fontId="0" fillId="2" borderId="1" xfId="0" applyFill="1" applyBorder="1" applyAlignment="1">
      <alignment horizontal="center" vertical="center"/>
    </xf>
    <xf numFmtId="0" fontId="0" fillId="2" borderId="1" xfId="0" applyFill="1" applyBorder="1"/>
    <xf numFmtId="0" fontId="1" fillId="2" borderId="1" xfId="0" applyFont="1" applyFill="1" applyBorder="1"/>
    <xf numFmtId="177" fontId="0" fillId="2" borderId="1" xfId="0" applyNumberFormat="1" applyFill="1" applyBorder="1"/>
    <xf numFmtId="177" fontId="7" fillId="2" borderId="1" xfId="0" applyNumberFormat="1" applyFont="1" applyFill="1" applyBorder="1"/>
    <xf numFmtId="1" fontId="0" fillId="2" borderId="1" xfId="0" applyNumberFormat="1" applyFill="1" applyBorder="1"/>
    <xf numFmtId="177" fontId="1" fillId="2" borderId="1" xfId="0" applyNumberFormat="1" applyFont="1" applyFill="1" applyBorder="1"/>
    <xf numFmtId="178" fontId="1" fillId="2" borderId="1" xfId="0" applyNumberFormat="1" applyFont="1" applyFill="1" applyBorder="1"/>
    <xf numFmtId="1" fontId="1" fillId="2" borderId="1" xfId="0" applyNumberFormat="1" applyFont="1" applyFill="1" applyBorder="1"/>
    <xf numFmtId="0" fontId="6" fillId="0" borderId="1" xfId="0" applyFont="1" applyBorder="1" applyAlignment="1">
      <alignment horizontal="left"/>
    </xf>
    <xf numFmtId="0" fontId="9" fillId="0" borderId="1" xfId="0" applyFont="1" applyBorder="1" applyAlignment="1">
      <alignment horizontal="left"/>
    </xf>
    <xf numFmtId="0" fontId="2" fillId="0" borderId="1" xfId="0" applyFont="1" applyBorder="1" applyAlignment="1">
      <alignment horizontal="center"/>
    </xf>
    <xf numFmtId="0" fontId="7" fillId="2" borderId="1" xfId="0" applyFont="1" applyFill="1" applyBorder="1" applyAlignment="1">
      <alignment horizontal="center"/>
    </xf>
    <xf numFmtId="0" fontId="0" fillId="2" borderId="1" xfId="0" applyFill="1" applyBorder="1" applyAlignment="1">
      <alignment horizontal="center"/>
    </xf>
    <xf numFmtId="0" fontId="5" fillId="0" borderId="0" xfId="0" applyFont="1" applyAlignment="1">
      <alignment horizontal="center"/>
    </xf>
    <xf numFmtId="0" fontId="0" fillId="0" borderId="0" xfId="0" applyAlignment="1">
      <alignment horizontal="center"/>
    </xf>
    <xf numFmtId="0" fontId="10" fillId="2" borderId="1" xfId="0" applyFont="1" applyFill="1" applyBorder="1" applyAlignment="1">
      <alignment horizontal="center" vertical="center"/>
    </xf>
    <xf numFmtId="2" fontId="0" fillId="2" borderId="1" xfId="0" applyNumberFormat="1" applyFill="1" applyBorder="1" applyAlignment="1">
      <alignment horizontal="center"/>
    </xf>
    <xf numFmtId="2" fontId="1" fillId="2" borderId="1" xfId="0" applyNumberFormat="1" applyFont="1" applyFill="1" applyBorder="1" applyAlignment="1">
      <alignment horizontal="center"/>
    </xf>
    <xf numFmtId="1" fontId="7" fillId="0" borderId="1" xfId="0" applyNumberFormat="1" applyFont="1" applyBorder="1" applyAlignment="1">
      <alignment horizontal="center"/>
    </xf>
    <xf numFmtId="0" fontId="0" fillId="0" borderId="1" xfId="0" applyBorder="1" applyAlignment="1">
      <alignment horizontal="center"/>
    </xf>
    <xf numFmtId="0" fontId="11" fillId="0" borderId="0" xfId="0" applyFont="1"/>
    <xf numFmtId="0" fontId="10" fillId="0" borderId="0" xfId="0" applyFont="1"/>
    <xf numFmtId="0" fontId="9" fillId="0" borderId="1" xfId="0" applyFont="1" applyBorder="1" applyAlignment="1">
      <alignment horizontal="left"/>
    </xf>
    <xf numFmtId="0" fontId="6" fillId="0" borderId="1" xfId="0" applyFont="1" applyBorder="1" applyAlignment="1">
      <alignment horizontal="left"/>
    </xf>
    <xf numFmtId="178" fontId="1" fillId="0" borderId="1" xfId="0" applyNumberFormat="1" applyFont="1" applyBorder="1"/>
    <xf numFmtId="178" fontId="0" fillId="3" borderId="1" xfId="0" applyNumberFormat="1" applyFill="1" applyBorder="1"/>
    <xf numFmtId="0" fontId="0" fillId="4" borderId="1" xfId="0" applyFill="1" applyBorder="1" applyAlignment="1">
      <alignment horizontal="center"/>
    </xf>
    <xf numFmtId="0" fontId="0" fillId="3" borderId="1" xfId="0" applyFill="1" applyBorder="1" applyAlignment="1">
      <alignment horizontal="center"/>
    </xf>
    <xf numFmtId="0" fontId="10" fillId="3" borderId="1" xfId="0" applyFont="1" applyFill="1" applyBorder="1" applyAlignment="1">
      <alignment horizontal="center" vertical="center"/>
    </xf>
    <xf numFmtId="0" fontId="0" fillId="3" borderId="1" xfId="0" applyFill="1" applyBorder="1"/>
    <xf numFmtId="0" fontId="7" fillId="3" borderId="1" xfId="0" applyFont="1" applyFill="1" applyBorder="1" applyAlignment="1">
      <alignment horizontal="center"/>
    </xf>
    <xf numFmtId="2" fontId="0" fillId="3" borderId="1" xfId="0" applyNumberFormat="1" applyFill="1" applyBorder="1" applyAlignment="1">
      <alignment horizontal="center"/>
    </xf>
    <xf numFmtId="0" fontId="0" fillId="3" borderId="3" xfId="0" applyFill="1" applyBorder="1"/>
    <xf numFmtId="0" fontId="0" fillId="3" borderId="3" xfId="0" applyFill="1" applyBorder="1" applyAlignment="1">
      <alignment horizontal="center"/>
    </xf>
    <xf numFmtId="0" fontId="0" fillId="3" borderId="0" xfId="0" applyFill="1" applyAlignment="1">
      <alignment horizontal="center"/>
    </xf>
    <xf numFmtId="0" fontId="7" fillId="3" borderId="3" xfId="0" applyFont="1" applyFill="1" applyBorder="1" applyAlignment="1">
      <alignment horizontal="center"/>
    </xf>
    <xf numFmtId="2" fontId="0" fillId="3" borderId="3" xfId="0" applyNumberFormat="1" applyFill="1" applyBorder="1" applyAlignment="1">
      <alignment horizontal="center"/>
    </xf>
    <xf numFmtId="0" fontId="1" fillId="3" borderId="1" xfId="0" applyFont="1" applyFill="1" applyBorder="1"/>
    <xf numFmtId="0" fontId="10" fillId="0" borderId="2" xfId="0"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5" fillId="0" borderId="1" xfId="0" applyFont="1" applyBorder="1" applyAlignment="1">
      <alignment horizontal="center"/>
    </xf>
    <xf numFmtId="0" fontId="9" fillId="0" borderId="1" xfId="0" applyFont="1" applyBorder="1" applyAlignment="1">
      <alignment horizontal="left"/>
    </xf>
    <xf numFmtId="0" fontId="6" fillId="0" borderId="1" xfId="0" applyFont="1" applyBorder="1" applyAlignment="1">
      <alignment horizontal="left"/>
    </xf>
    <xf numFmtId="0" fontId="9" fillId="0" borderId="1" xfId="0" applyFont="1" applyBorder="1" applyAlignment="1">
      <alignment horizontal="left" wrapText="1"/>
    </xf>
    <xf numFmtId="0" fontId="6" fillId="0" borderId="1" xfId="0" applyFont="1" applyBorder="1" applyAlignment="1">
      <alignment horizontal="left" wrapText="1"/>
    </xf>
    <xf numFmtId="0" fontId="2" fillId="0" borderId="5" xfId="0" applyFont="1" applyFill="1" applyBorder="1" applyAlignment="1">
      <alignment horizontal="left" wrapText="1"/>
    </xf>
    <xf numFmtId="0" fontId="2" fillId="0" borderId="7" xfId="0" applyFont="1" applyFill="1" applyBorder="1" applyAlignment="1">
      <alignment horizontal="left" wrapText="1"/>
    </xf>
    <xf numFmtId="0" fontId="2" fillId="0" borderId="6" xfId="0" applyFont="1" applyFill="1" applyBorder="1" applyAlignment="1">
      <alignment horizontal="left" wrapText="1"/>
    </xf>
    <xf numFmtId="0" fontId="0" fillId="0" borderId="1" xfId="0" applyBorder="1" applyAlignment="1">
      <alignment horizontal="center" vertical="center" wrapText="1"/>
    </xf>
    <xf numFmtId="0" fontId="10" fillId="2" borderId="2" xfId="0" applyFont="1" applyFill="1" applyBorder="1" applyAlignment="1">
      <alignment horizontal="center" vertical="center" wrapText="1"/>
    </xf>
    <xf numFmtId="0" fontId="0" fillId="2" borderId="4" xfId="0" applyFill="1" applyBorder="1" applyAlignment="1">
      <alignment horizontal="center" vertical="center" wrapText="1"/>
    </xf>
    <xf numFmtId="0" fontId="10" fillId="2" borderId="5" xfId="0" applyFont="1" applyFill="1" applyBorder="1" applyAlignment="1">
      <alignment horizontal="center" vertical="center" wrapText="1"/>
    </xf>
    <xf numFmtId="0" fontId="0" fillId="2" borderId="6" xfId="0" applyFill="1"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1" xfId="0" applyFill="1" applyBorder="1" applyAlignment="1">
      <alignment horizontal="center" vertical="center" wrapText="1"/>
    </xf>
    <xf numFmtId="0" fontId="0" fillId="0" borderId="2" xfId="0" applyBorder="1" applyAlignment="1">
      <alignment horizontal="center" vertical="center" wrapText="1"/>
    </xf>
    <xf numFmtId="0" fontId="10" fillId="3" borderId="2" xfId="0" applyFont="1" applyFill="1" applyBorder="1" applyAlignment="1">
      <alignment horizontal="center" vertical="center" wrapText="1"/>
    </xf>
    <xf numFmtId="0" fontId="0" fillId="3" borderId="4" xfId="0" applyFill="1" applyBorder="1" applyAlignment="1">
      <alignment horizontal="center" vertical="center" wrapText="1"/>
    </xf>
    <xf numFmtId="0" fontId="10" fillId="3" borderId="5" xfId="0" applyFont="1" applyFill="1" applyBorder="1" applyAlignment="1">
      <alignment horizontal="center" vertical="center" wrapText="1"/>
    </xf>
    <xf numFmtId="0" fontId="0" fillId="3" borderId="6" xfId="0" applyFill="1" applyBorder="1" applyAlignment="1">
      <alignment horizontal="center" vertical="center"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1" xfId="0" applyFill="1"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6" xfId="0" applyBorder="1" applyAlignment="1">
      <alignment horizontal="center" vertical="center" wrapText="1"/>
    </xf>
    <xf numFmtId="0" fontId="0" fillId="2" borderId="5" xfId="0" applyFill="1" applyBorder="1" applyAlignment="1">
      <alignment horizontal="center" vertical="center" wrapText="1"/>
    </xf>
    <xf numFmtId="0" fontId="0" fillId="2" borderId="7" xfId="0" applyFill="1" applyBorder="1" applyAlignment="1">
      <alignment horizontal="center" vertical="center" wrapText="1"/>
    </xf>
    <xf numFmtId="0" fontId="9" fillId="5" borderId="1" xfId="0" applyFont="1" applyFill="1" applyBorder="1" applyAlignment="1">
      <alignment horizontal="left"/>
    </xf>
    <xf numFmtId="0" fontId="6" fillId="5" borderId="1" xfId="0" applyFont="1" applyFill="1" applyBorder="1" applyAlignment="1">
      <alignment horizontal="left"/>
    </xf>
    <xf numFmtId="0" fontId="2" fillId="5" borderId="1" xfId="0"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5</xdr:col>
      <xdr:colOff>495299</xdr:colOff>
      <xdr:row>0</xdr:row>
      <xdr:rowOff>123825</xdr:rowOff>
    </xdr:from>
    <xdr:to>
      <xdr:col>20</xdr:col>
      <xdr:colOff>323849</xdr:colOff>
      <xdr:row>6</xdr:row>
      <xdr:rowOff>28575</xdr:rowOff>
    </xdr:to>
    <xdr:grpSp>
      <xdr:nvGrpSpPr>
        <xdr:cNvPr id="70" name="Groupe 69">
          <a:extLst>
            <a:ext uri="{FF2B5EF4-FFF2-40B4-BE49-F238E27FC236}">
              <a16:creationId xmlns:a16="http://schemas.microsoft.com/office/drawing/2014/main" id="{00000000-0008-0000-0000-000046000000}"/>
            </a:ext>
          </a:extLst>
        </xdr:cNvPr>
        <xdr:cNvGrpSpPr/>
      </xdr:nvGrpSpPr>
      <xdr:grpSpPr>
        <a:xfrm>
          <a:off x="3562349" y="123825"/>
          <a:ext cx="9391650" cy="1428750"/>
          <a:chOff x="371475" y="381000"/>
          <a:chExt cx="7629525" cy="1428750"/>
        </a:xfrm>
      </xdr:grpSpPr>
      <xdr:cxnSp macro="">
        <xdr:nvCxnSpPr>
          <xdr:cNvPr id="33" name="Connecteur droit 32">
            <a:extLst>
              <a:ext uri="{FF2B5EF4-FFF2-40B4-BE49-F238E27FC236}">
                <a16:creationId xmlns:a16="http://schemas.microsoft.com/office/drawing/2014/main" id="{00000000-0008-0000-0000-000021000000}"/>
              </a:ext>
            </a:extLst>
          </xdr:cNvPr>
          <xdr:cNvCxnSpPr>
            <a:stCxn id="2" idx="6"/>
            <a:endCxn id="17" idx="1"/>
          </xdr:cNvCxnSpPr>
        </xdr:nvCxnSpPr>
        <xdr:spPr>
          <a:xfrm>
            <a:off x="752475" y="809625"/>
            <a:ext cx="5553075"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sp macro="" textlink="">
        <xdr:nvSpPr>
          <xdr:cNvPr id="2" name="Ellipse 1">
            <a:extLst>
              <a:ext uri="{FF2B5EF4-FFF2-40B4-BE49-F238E27FC236}">
                <a16:creationId xmlns:a16="http://schemas.microsoft.com/office/drawing/2014/main" id="{00000000-0008-0000-0000-000002000000}"/>
              </a:ext>
            </a:extLst>
          </xdr:cNvPr>
          <xdr:cNvSpPr/>
        </xdr:nvSpPr>
        <xdr:spPr>
          <a:xfrm>
            <a:off x="371475" y="619125"/>
            <a:ext cx="381000" cy="3810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3" name="Ellipse 2">
            <a:extLst>
              <a:ext uri="{FF2B5EF4-FFF2-40B4-BE49-F238E27FC236}">
                <a16:creationId xmlns:a16="http://schemas.microsoft.com/office/drawing/2014/main" id="{00000000-0008-0000-0000-000003000000}"/>
              </a:ext>
            </a:extLst>
          </xdr:cNvPr>
          <xdr:cNvSpPr/>
        </xdr:nvSpPr>
        <xdr:spPr>
          <a:xfrm>
            <a:off x="7620000" y="619125"/>
            <a:ext cx="381000" cy="3810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4" name="Ellipse 3">
            <a:extLst>
              <a:ext uri="{FF2B5EF4-FFF2-40B4-BE49-F238E27FC236}">
                <a16:creationId xmlns:a16="http://schemas.microsoft.com/office/drawing/2014/main" id="{00000000-0008-0000-0000-000004000000}"/>
              </a:ext>
            </a:extLst>
          </xdr:cNvPr>
          <xdr:cNvSpPr/>
        </xdr:nvSpPr>
        <xdr:spPr>
          <a:xfrm>
            <a:off x="1428750" y="719625"/>
            <a:ext cx="180000" cy="180000"/>
          </a:xfrm>
          <a:prstGeom prst="ellipse">
            <a:avLst/>
          </a:prstGeom>
          <a:pattFill prst="pct25">
            <a:fgClr>
              <a:srgbClr val="FF0000"/>
            </a:fgClr>
            <a:bgClr>
              <a:schemeClr val="bg1"/>
            </a:bgClr>
          </a:patt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5" name="Rectangle 4">
            <a:extLst>
              <a:ext uri="{FF2B5EF4-FFF2-40B4-BE49-F238E27FC236}">
                <a16:creationId xmlns:a16="http://schemas.microsoft.com/office/drawing/2014/main" id="{00000000-0008-0000-0000-000005000000}"/>
              </a:ext>
            </a:extLst>
          </xdr:cNvPr>
          <xdr:cNvSpPr/>
        </xdr:nvSpPr>
        <xdr:spPr>
          <a:xfrm>
            <a:off x="2228850" y="1295400"/>
            <a:ext cx="180000" cy="180000"/>
          </a:xfrm>
          <a:prstGeom prst="rect">
            <a:avLst/>
          </a:prstGeom>
          <a:pattFill prst="pct25">
            <a:fgClr>
              <a:srgbClr val="FF0000"/>
            </a:fgClr>
            <a:bgClr>
              <a:schemeClr val="bg1"/>
            </a:bgClr>
          </a:patt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0" name="Organigramme : Décision 9">
            <a:extLst>
              <a:ext uri="{FF2B5EF4-FFF2-40B4-BE49-F238E27FC236}">
                <a16:creationId xmlns:a16="http://schemas.microsoft.com/office/drawing/2014/main" id="{00000000-0008-0000-0000-00000A000000}"/>
              </a:ext>
            </a:extLst>
          </xdr:cNvPr>
          <xdr:cNvSpPr/>
        </xdr:nvSpPr>
        <xdr:spPr>
          <a:xfrm>
            <a:off x="2343150" y="683625"/>
            <a:ext cx="180000" cy="252000"/>
          </a:xfrm>
          <a:prstGeom prst="flowChartDecision">
            <a:avLst/>
          </a:prstGeom>
          <a:pattFill prst="pct30">
            <a:fgClr>
              <a:schemeClr val="accent1"/>
            </a:fgClr>
            <a:bgClr>
              <a:schemeClr val="bg1"/>
            </a:bgClr>
          </a:patt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xnSp macro="">
        <xdr:nvCxnSpPr>
          <xdr:cNvPr id="12" name="Connecteur droit 11">
            <a:extLst>
              <a:ext uri="{FF2B5EF4-FFF2-40B4-BE49-F238E27FC236}">
                <a16:creationId xmlns:a16="http://schemas.microsoft.com/office/drawing/2014/main" id="{00000000-0008-0000-0000-00000C000000}"/>
              </a:ext>
            </a:extLst>
          </xdr:cNvPr>
          <xdr:cNvCxnSpPr>
            <a:stCxn id="10" idx="2"/>
            <a:endCxn id="5" idx="0"/>
          </xdr:cNvCxnSpPr>
        </xdr:nvCxnSpPr>
        <xdr:spPr>
          <a:xfrm flipH="1">
            <a:off x="2318850" y="935625"/>
            <a:ext cx="114300" cy="359775"/>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sp macro="" textlink="">
        <xdr:nvSpPr>
          <xdr:cNvPr id="15" name="Ellipse 14">
            <a:extLst>
              <a:ext uri="{FF2B5EF4-FFF2-40B4-BE49-F238E27FC236}">
                <a16:creationId xmlns:a16="http://schemas.microsoft.com/office/drawing/2014/main" id="{00000000-0008-0000-0000-00000F000000}"/>
              </a:ext>
            </a:extLst>
          </xdr:cNvPr>
          <xdr:cNvSpPr/>
        </xdr:nvSpPr>
        <xdr:spPr>
          <a:xfrm>
            <a:off x="3295650" y="719625"/>
            <a:ext cx="180000" cy="180000"/>
          </a:xfrm>
          <a:prstGeom prst="ellipse">
            <a:avLst/>
          </a:prstGeom>
          <a:pattFill prst="pct25">
            <a:fgClr>
              <a:srgbClr val="FF0000"/>
            </a:fgClr>
            <a:bgClr>
              <a:schemeClr val="bg1"/>
            </a:bgClr>
          </a:patt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6" name="Ellipse 15">
            <a:extLst>
              <a:ext uri="{FF2B5EF4-FFF2-40B4-BE49-F238E27FC236}">
                <a16:creationId xmlns:a16="http://schemas.microsoft.com/office/drawing/2014/main" id="{00000000-0008-0000-0000-000010000000}"/>
              </a:ext>
            </a:extLst>
          </xdr:cNvPr>
          <xdr:cNvSpPr/>
        </xdr:nvSpPr>
        <xdr:spPr>
          <a:xfrm>
            <a:off x="3933825" y="719625"/>
            <a:ext cx="180000" cy="180000"/>
          </a:xfrm>
          <a:prstGeom prst="ellipse">
            <a:avLst/>
          </a:prstGeom>
          <a:solidFill>
            <a:srgbClr val="FF000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7" name="Organigramme : Décision 16">
            <a:extLst>
              <a:ext uri="{FF2B5EF4-FFF2-40B4-BE49-F238E27FC236}">
                <a16:creationId xmlns:a16="http://schemas.microsoft.com/office/drawing/2014/main" id="{00000000-0008-0000-0000-000011000000}"/>
              </a:ext>
            </a:extLst>
          </xdr:cNvPr>
          <xdr:cNvSpPr/>
        </xdr:nvSpPr>
        <xdr:spPr>
          <a:xfrm>
            <a:off x="6305550" y="683625"/>
            <a:ext cx="180000" cy="252000"/>
          </a:xfrm>
          <a:prstGeom prst="flowChartDecision">
            <a:avLst/>
          </a:prstGeom>
          <a:pattFill prst="pct30">
            <a:fgClr>
              <a:schemeClr val="accent1"/>
            </a:fgClr>
            <a:bgClr>
              <a:schemeClr val="bg1"/>
            </a:bgClr>
          </a:patt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8" name="Ellipse 17">
            <a:extLst>
              <a:ext uri="{FF2B5EF4-FFF2-40B4-BE49-F238E27FC236}">
                <a16:creationId xmlns:a16="http://schemas.microsoft.com/office/drawing/2014/main" id="{00000000-0008-0000-0000-000012000000}"/>
              </a:ext>
            </a:extLst>
          </xdr:cNvPr>
          <xdr:cNvSpPr/>
        </xdr:nvSpPr>
        <xdr:spPr>
          <a:xfrm>
            <a:off x="5343525" y="719625"/>
            <a:ext cx="180000" cy="180000"/>
          </a:xfrm>
          <a:prstGeom prst="ellipse">
            <a:avLst/>
          </a:prstGeom>
          <a:pattFill prst="pct25">
            <a:fgClr>
              <a:srgbClr val="FF0000"/>
            </a:fgClr>
            <a:bgClr>
              <a:schemeClr val="bg1"/>
            </a:bgClr>
          </a:patt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21" name="Rectangle 20">
            <a:extLst>
              <a:ext uri="{FF2B5EF4-FFF2-40B4-BE49-F238E27FC236}">
                <a16:creationId xmlns:a16="http://schemas.microsoft.com/office/drawing/2014/main" id="{00000000-0008-0000-0000-000015000000}"/>
              </a:ext>
            </a:extLst>
          </xdr:cNvPr>
          <xdr:cNvSpPr/>
        </xdr:nvSpPr>
        <xdr:spPr>
          <a:xfrm>
            <a:off x="4991100" y="1257300"/>
            <a:ext cx="180000" cy="180000"/>
          </a:xfrm>
          <a:prstGeom prst="rect">
            <a:avLst/>
          </a:prstGeom>
          <a:pattFill prst="pct25">
            <a:fgClr>
              <a:srgbClr val="FF0000"/>
            </a:fgClr>
            <a:bgClr>
              <a:schemeClr val="bg1"/>
            </a:bgClr>
          </a:patt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xnSp macro="">
        <xdr:nvCxnSpPr>
          <xdr:cNvPr id="22" name="Connecteur droit 21">
            <a:extLst>
              <a:ext uri="{FF2B5EF4-FFF2-40B4-BE49-F238E27FC236}">
                <a16:creationId xmlns:a16="http://schemas.microsoft.com/office/drawing/2014/main" id="{00000000-0008-0000-0000-000016000000}"/>
              </a:ext>
            </a:extLst>
          </xdr:cNvPr>
          <xdr:cNvCxnSpPr>
            <a:stCxn id="18" idx="4"/>
            <a:endCxn id="21" idx="0"/>
          </xdr:cNvCxnSpPr>
        </xdr:nvCxnSpPr>
        <xdr:spPr>
          <a:xfrm flipH="1">
            <a:off x="5081100" y="899625"/>
            <a:ext cx="352425" cy="357675"/>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sp macro="" textlink="">
        <xdr:nvSpPr>
          <xdr:cNvPr id="26" name="Ellipse 25">
            <a:extLst>
              <a:ext uri="{FF2B5EF4-FFF2-40B4-BE49-F238E27FC236}">
                <a16:creationId xmlns:a16="http://schemas.microsoft.com/office/drawing/2014/main" id="{00000000-0008-0000-0000-00001A000000}"/>
              </a:ext>
            </a:extLst>
          </xdr:cNvPr>
          <xdr:cNvSpPr/>
        </xdr:nvSpPr>
        <xdr:spPr>
          <a:xfrm>
            <a:off x="4610100" y="700575"/>
            <a:ext cx="180000" cy="180000"/>
          </a:xfrm>
          <a:prstGeom prst="ellipse">
            <a:avLst/>
          </a:prstGeom>
          <a:pattFill prst="pct25">
            <a:fgClr>
              <a:srgbClr val="FF0000"/>
            </a:fgClr>
            <a:bgClr>
              <a:schemeClr val="bg1"/>
            </a:bgClr>
          </a:patt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28" name="Rectangle 27">
            <a:extLst>
              <a:ext uri="{FF2B5EF4-FFF2-40B4-BE49-F238E27FC236}">
                <a16:creationId xmlns:a16="http://schemas.microsoft.com/office/drawing/2014/main" id="{00000000-0008-0000-0000-00001C000000}"/>
              </a:ext>
            </a:extLst>
          </xdr:cNvPr>
          <xdr:cNvSpPr/>
        </xdr:nvSpPr>
        <xdr:spPr>
          <a:xfrm>
            <a:off x="6248400" y="1314450"/>
            <a:ext cx="180000" cy="180000"/>
          </a:xfrm>
          <a:prstGeom prst="rect">
            <a:avLst/>
          </a:prstGeom>
          <a:pattFill prst="pct25">
            <a:fgClr>
              <a:srgbClr val="FF0000"/>
            </a:fgClr>
            <a:bgClr>
              <a:schemeClr val="bg1"/>
            </a:bgClr>
          </a:patt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xnSp macro="">
        <xdr:nvCxnSpPr>
          <xdr:cNvPr id="29" name="Connecteur droit 28">
            <a:extLst>
              <a:ext uri="{FF2B5EF4-FFF2-40B4-BE49-F238E27FC236}">
                <a16:creationId xmlns:a16="http://schemas.microsoft.com/office/drawing/2014/main" id="{00000000-0008-0000-0000-00001D000000}"/>
              </a:ext>
            </a:extLst>
          </xdr:cNvPr>
          <xdr:cNvCxnSpPr>
            <a:stCxn id="17" idx="2"/>
            <a:endCxn id="28" idx="0"/>
          </xdr:cNvCxnSpPr>
        </xdr:nvCxnSpPr>
        <xdr:spPr>
          <a:xfrm flipH="1">
            <a:off x="6338400" y="935625"/>
            <a:ext cx="57150" cy="378825"/>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34" name="Connecteur droit 33">
            <a:extLst>
              <a:ext uri="{FF2B5EF4-FFF2-40B4-BE49-F238E27FC236}">
                <a16:creationId xmlns:a16="http://schemas.microsoft.com/office/drawing/2014/main" id="{00000000-0008-0000-0000-000022000000}"/>
              </a:ext>
            </a:extLst>
          </xdr:cNvPr>
          <xdr:cNvCxnSpPr>
            <a:endCxn id="3" idx="2"/>
          </xdr:cNvCxnSpPr>
        </xdr:nvCxnSpPr>
        <xdr:spPr>
          <a:xfrm flipV="1">
            <a:off x="6539224" y="809626"/>
            <a:ext cx="1080775" cy="10287"/>
          </a:xfrm>
          <a:prstGeom prst="line">
            <a:avLst/>
          </a:prstGeom>
          <a:ln>
            <a:solidFill>
              <a:srgbClr val="0070C0"/>
            </a:solidFill>
          </a:ln>
        </xdr:spPr>
        <xdr:style>
          <a:lnRef idx="1">
            <a:schemeClr val="accent1"/>
          </a:lnRef>
          <a:fillRef idx="0">
            <a:schemeClr val="accent1"/>
          </a:fillRef>
          <a:effectRef idx="0">
            <a:schemeClr val="accent1"/>
          </a:effectRef>
          <a:fontRef idx="minor">
            <a:schemeClr val="tx1"/>
          </a:fontRef>
        </xdr:style>
      </xdr:cxnSp>
      <xdr:grpSp>
        <xdr:nvGrpSpPr>
          <xdr:cNvPr id="39" name="Groupe 38">
            <a:extLst>
              <a:ext uri="{FF2B5EF4-FFF2-40B4-BE49-F238E27FC236}">
                <a16:creationId xmlns:a16="http://schemas.microsoft.com/office/drawing/2014/main" id="{00000000-0008-0000-0000-000027000000}"/>
              </a:ext>
            </a:extLst>
          </xdr:cNvPr>
          <xdr:cNvGrpSpPr/>
        </xdr:nvGrpSpPr>
        <xdr:grpSpPr>
          <a:xfrm>
            <a:off x="6495318" y="744416"/>
            <a:ext cx="39199" cy="142875"/>
            <a:chOff x="5702178" y="1696000"/>
            <a:chExt cx="39199" cy="144707"/>
          </a:xfrm>
        </xdr:grpSpPr>
        <xdr:cxnSp macro="">
          <xdr:nvCxnSpPr>
            <xdr:cNvPr id="37" name="Connecteur droit 36">
              <a:extLst>
                <a:ext uri="{FF2B5EF4-FFF2-40B4-BE49-F238E27FC236}">
                  <a16:creationId xmlns:a16="http://schemas.microsoft.com/office/drawing/2014/main" id="{00000000-0008-0000-0000-000025000000}"/>
                </a:ext>
              </a:extLst>
            </xdr:cNvPr>
            <xdr:cNvCxnSpPr/>
          </xdr:nvCxnSpPr>
          <xdr:spPr>
            <a:xfrm>
              <a:off x="5702178" y="1696000"/>
              <a:ext cx="0" cy="144707"/>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38" name="Connecteur droit 37">
              <a:extLst>
                <a:ext uri="{FF2B5EF4-FFF2-40B4-BE49-F238E27FC236}">
                  <a16:creationId xmlns:a16="http://schemas.microsoft.com/office/drawing/2014/main" id="{00000000-0008-0000-0000-000026000000}"/>
                </a:ext>
              </a:extLst>
            </xdr:cNvPr>
            <xdr:cNvCxnSpPr/>
          </xdr:nvCxnSpPr>
          <xdr:spPr>
            <a:xfrm>
              <a:off x="5741377" y="1696000"/>
              <a:ext cx="0" cy="144707"/>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42" name="Rectangle à coins arrondis 41">
            <a:extLst>
              <a:ext uri="{FF2B5EF4-FFF2-40B4-BE49-F238E27FC236}">
                <a16:creationId xmlns:a16="http://schemas.microsoft.com/office/drawing/2014/main" id="{00000000-0008-0000-0000-00002A000000}"/>
              </a:ext>
            </a:extLst>
          </xdr:cNvPr>
          <xdr:cNvSpPr/>
        </xdr:nvSpPr>
        <xdr:spPr>
          <a:xfrm>
            <a:off x="381001" y="1123950"/>
            <a:ext cx="742950" cy="285750"/>
          </a:xfrm>
          <a:prstGeom prst="wedgeRoundRectCallout">
            <a:avLst>
              <a:gd name="adj1" fmla="val 4808"/>
              <a:gd name="adj2" fmla="val -150833"/>
              <a:gd name="adj3" fmla="val 16667"/>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fr-FR" sz="1100">
                <a:solidFill>
                  <a:srgbClr val="FF0000"/>
                </a:solidFill>
              </a:rPr>
              <a:t>Départ</a:t>
            </a:r>
            <a:r>
              <a:rPr lang="fr-FR" sz="1100" baseline="0">
                <a:solidFill>
                  <a:srgbClr val="FF0000"/>
                </a:solidFill>
              </a:rPr>
              <a:t> A</a:t>
            </a:r>
            <a:endParaRPr lang="fr-FR" sz="1100">
              <a:solidFill>
                <a:srgbClr val="FF0000"/>
              </a:solidFill>
            </a:endParaRPr>
          </a:p>
        </xdr:txBody>
      </xdr:sp>
      <xdr:sp macro="" textlink="">
        <xdr:nvSpPr>
          <xdr:cNvPr id="43" name="Rectangle à coins arrondis 42">
            <a:extLst>
              <a:ext uri="{FF2B5EF4-FFF2-40B4-BE49-F238E27FC236}">
                <a16:creationId xmlns:a16="http://schemas.microsoft.com/office/drawing/2014/main" id="{00000000-0008-0000-0000-00002B000000}"/>
              </a:ext>
            </a:extLst>
          </xdr:cNvPr>
          <xdr:cNvSpPr/>
        </xdr:nvSpPr>
        <xdr:spPr>
          <a:xfrm>
            <a:off x="7000876" y="1028700"/>
            <a:ext cx="733425" cy="285750"/>
          </a:xfrm>
          <a:prstGeom prst="wedgeRoundRectCallout">
            <a:avLst>
              <a:gd name="adj1" fmla="val -29291"/>
              <a:gd name="adj2" fmla="val -130833"/>
              <a:gd name="adj3" fmla="val 16667"/>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fr-FR" sz="1100">
                <a:solidFill>
                  <a:srgbClr val="0070C0"/>
                </a:solidFill>
              </a:rPr>
              <a:t>Départ</a:t>
            </a:r>
            <a:r>
              <a:rPr lang="fr-FR" sz="1100" baseline="0">
                <a:solidFill>
                  <a:srgbClr val="0070C0"/>
                </a:solidFill>
              </a:rPr>
              <a:t> B</a:t>
            </a:r>
            <a:endParaRPr lang="fr-FR" sz="1100">
              <a:solidFill>
                <a:srgbClr val="0070C0"/>
              </a:solidFill>
            </a:endParaRPr>
          </a:p>
        </xdr:txBody>
      </xdr:sp>
      <xdr:sp macro="" textlink="">
        <xdr:nvSpPr>
          <xdr:cNvPr id="44" name="Rectangle à coins arrondis 43">
            <a:extLst>
              <a:ext uri="{FF2B5EF4-FFF2-40B4-BE49-F238E27FC236}">
                <a16:creationId xmlns:a16="http://schemas.microsoft.com/office/drawing/2014/main" id="{00000000-0008-0000-0000-00002C000000}"/>
              </a:ext>
            </a:extLst>
          </xdr:cNvPr>
          <xdr:cNvSpPr/>
        </xdr:nvSpPr>
        <xdr:spPr>
          <a:xfrm>
            <a:off x="942976" y="904874"/>
            <a:ext cx="285749" cy="171451"/>
          </a:xfrm>
          <a:prstGeom prst="wedgeRoundRectCallout">
            <a:avLst>
              <a:gd name="adj1" fmla="val -2884"/>
              <a:gd name="adj2" fmla="val -103054"/>
              <a:gd name="adj3" fmla="val 16667"/>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T1</a:t>
            </a:r>
          </a:p>
        </xdr:txBody>
      </xdr:sp>
      <xdr:sp macro="" textlink="">
        <xdr:nvSpPr>
          <xdr:cNvPr id="45" name="Rectangle à coins arrondis 44">
            <a:extLst>
              <a:ext uri="{FF2B5EF4-FFF2-40B4-BE49-F238E27FC236}">
                <a16:creationId xmlns:a16="http://schemas.microsoft.com/office/drawing/2014/main" id="{00000000-0008-0000-0000-00002D000000}"/>
              </a:ext>
            </a:extLst>
          </xdr:cNvPr>
          <xdr:cNvSpPr/>
        </xdr:nvSpPr>
        <xdr:spPr>
          <a:xfrm>
            <a:off x="1800226" y="914399"/>
            <a:ext cx="285749" cy="171451"/>
          </a:xfrm>
          <a:prstGeom prst="wedgeRoundRectCallout">
            <a:avLst>
              <a:gd name="adj1" fmla="val 7116"/>
              <a:gd name="adj2" fmla="val -108609"/>
              <a:gd name="adj3" fmla="val 16667"/>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T2</a:t>
            </a:r>
          </a:p>
        </xdr:txBody>
      </xdr:sp>
      <xdr:sp macro="" textlink="">
        <xdr:nvSpPr>
          <xdr:cNvPr id="46" name="Rectangle à coins arrondis 45">
            <a:extLst>
              <a:ext uri="{FF2B5EF4-FFF2-40B4-BE49-F238E27FC236}">
                <a16:creationId xmlns:a16="http://schemas.microsoft.com/office/drawing/2014/main" id="{00000000-0008-0000-0000-00002E000000}"/>
              </a:ext>
            </a:extLst>
          </xdr:cNvPr>
          <xdr:cNvSpPr/>
        </xdr:nvSpPr>
        <xdr:spPr>
          <a:xfrm>
            <a:off x="2476501" y="1076324"/>
            <a:ext cx="285749" cy="171451"/>
          </a:xfrm>
          <a:prstGeom prst="wedgeRoundRectCallout">
            <a:avLst>
              <a:gd name="adj1" fmla="val -82884"/>
              <a:gd name="adj2" fmla="val -36387"/>
              <a:gd name="adj3" fmla="val 16667"/>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T3</a:t>
            </a:r>
          </a:p>
        </xdr:txBody>
      </xdr:sp>
      <xdr:sp macro="" textlink="">
        <xdr:nvSpPr>
          <xdr:cNvPr id="47" name="Rectangle à coins arrondis 46">
            <a:extLst>
              <a:ext uri="{FF2B5EF4-FFF2-40B4-BE49-F238E27FC236}">
                <a16:creationId xmlns:a16="http://schemas.microsoft.com/office/drawing/2014/main" id="{00000000-0008-0000-0000-00002F000000}"/>
              </a:ext>
            </a:extLst>
          </xdr:cNvPr>
          <xdr:cNvSpPr/>
        </xdr:nvSpPr>
        <xdr:spPr>
          <a:xfrm>
            <a:off x="2847976" y="942974"/>
            <a:ext cx="285749" cy="171451"/>
          </a:xfrm>
          <a:prstGeom prst="wedgeRoundRectCallout">
            <a:avLst>
              <a:gd name="adj1" fmla="val -52884"/>
              <a:gd name="adj2" fmla="val -119720"/>
              <a:gd name="adj3" fmla="val 16667"/>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T4</a:t>
            </a:r>
          </a:p>
        </xdr:txBody>
      </xdr:sp>
      <xdr:sp macro="" textlink="">
        <xdr:nvSpPr>
          <xdr:cNvPr id="48" name="Rectangle à coins arrondis 47">
            <a:extLst>
              <a:ext uri="{FF2B5EF4-FFF2-40B4-BE49-F238E27FC236}">
                <a16:creationId xmlns:a16="http://schemas.microsoft.com/office/drawing/2014/main" id="{00000000-0008-0000-0000-000030000000}"/>
              </a:ext>
            </a:extLst>
          </xdr:cNvPr>
          <xdr:cNvSpPr/>
        </xdr:nvSpPr>
        <xdr:spPr>
          <a:xfrm>
            <a:off x="3505201" y="1000124"/>
            <a:ext cx="285749" cy="171451"/>
          </a:xfrm>
          <a:prstGeom prst="wedgeRoundRectCallout">
            <a:avLst>
              <a:gd name="adj1" fmla="val 449"/>
              <a:gd name="adj2" fmla="val -164164"/>
              <a:gd name="adj3" fmla="val 16667"/>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T5</a:t>
            </a:r>
          </a:p>
        </xdr:txBody>
      </xdr:sp>
      <xdr:sp macro="" textlink="">
        <xdr:nvSpPr>
          <xdr:cNvPr id="49" name="Rectangle à coins arrondis 48">
            <a:extLst>
              <a:ext uri="{FF2B5EF4-FFF2-40B4-BE49-F238E27FC236}">
                <a16:creationId xmlns:a16="http://schemas.microsoft.com/office/drawing/2014/main" id="{00000000-0008-0000-0000-000031000000}"/>
              </a:ext>
            </a:extLst>
          </xdr:cNvPr>
          <xdr:cNvSpPr/>
        </xdr:nvSpPr>
        <xdr:spPr>
          <a:xfrm>
            <a:off x="4152901" y="952499"/>
            <a:ext cx="285749" cy="171451"/>
          </a:xfrm>
          <a:prstGeom prst="wedgeRoundRectCallout">
            <a:avLst>
              <a:gd name="adj1" fmla="val 449"/>
              <a:gd name="adj2" fmla="val -125276"/>
              <a:gd name="adj3" fmla="val 16667"/>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T6</a:t>
            </a:r>
          </a:p>
        </xdr:txBody>
      </xdr:sp>
      <xdr:sp macro="" textlink="">
        <xdr:nvSpPr>
          <xdr:cNvPr id="50" name="Rectangle à coins arrondis 49">
            <a:extLst>
              <a:ext uri="{FF2B5EF4-FFF2-40B4-BE49-F238E27FC236}">
                <a16:creationId xmlns:a16="http://schemas.microsoft.com/office/drawing/2014/main" id="{00000000-0008-0000-0000-000032000000}"/>
              </a:ext>
            </a:extLst>
          </xdr:cNvPr>
          <xdr:cNvSpPr/>
        </xdr:nvSpPr>
        <xdr:spPr>
          <a:xfrm>
            <a:off x="4886326" y="885824"/>
            <a:ext cx="285749" cy="171451"/>
          </a:xfrm>
          <a:prstGeom prst="wedgeRoundRectCallout">
            <a:avLst>
              <a:gd name="adj1" fmla="val -42884"/>
              <a:gd name="adj2" fmla="val -91943"/>
              <a:gd name="adj3" fmla="val 16667"/>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T7</a:t>
            </a:r>
          </a:p>
        </xdr:txBody>
      </xdr:sp>
      <xdr:sp macro="" textlink="">
        <xdr:nvSpPr>
          <xdr:cNvPr id="51" name="Rectangle à coins arrondis 50">
            <a:extLst>
              <a:ext uri="{FF2B5EF4-FFF2-40B4-BE49-F238E27FC236}">
                <a16:creationId xmlns:a16="http://schemas.microsoft.com/office/drawing/2014/main" id="{00000000-0008-0000-0000-000033000000}"/>
              </a:ext>
            </a:extLst>
          </xdr:cNvPr>
          <xdr:cNvSpPr/>
        </xdr:nvSpPr>
        <xdr:spPr>
          <a:xfrm>
            <a:off x="5715001" y="923924"/>
            <a:ext cx="285749" cy="171451"/>
          </a:xfrm>
          <a:prstGeom prst="wedgeRoundRectCallout">
            <a:avLst>
              <a:gd name="adj1" fmla="val -66218"/>
              <a:gd name="adj2" fmla="val -114165"/>
              <a:gd name="adj3" fmla="val 16667"/>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T9</a:t>
            </a:r>
          </a:p>
        </xdr:txBody>
      </xdr:sp>
      <xdr:sp macro="" textlink="">
        <xdr:nvSpPr>
          <xdr:cNvPr id="52" name="Rectangle à coins arrondis 51">
            <a:extLst>
              <a:ext uri="{FF2B5EF4-FFF2-40B4-BE49-F238E27FC236}">
                <a16:creationId xmlns:a16="http://schemas.microsoft.com/office/drawing/2014/main" id="{00000000-0008-0000-0000-000034000000}"/>
              </a:ext>
            </a:extLst>
          </xdr:cNvPr>
          <xdr:cNvSpPr/>
        </xdr:nvSpPr>
        <xdr:spPr>
          <a:xfrm>
            <a:off x="5372101" y="1076324"/>
            <a:ext cx="285749" cy="171451"/>
          </a:xfrm>
          <a:prstGeom prst="wedgeRoundRectCallout">
            <a:avLst>
              <a:gd name="adj1" fmla="val -99551"/>
              <a:gd name="adj2" fmla="val -19721"/>
              <a:gd name="adj3" fmla="val 16667"/>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T8</a:t>
            </a:r>
          </a:p>
        </xdr:txBody>
      </xdr:sp>
      <xdr:sp macro="" textlink="">
        <xdr:nvSpPr>
          <xdr:cNvPr id="53" name="Rectangle à coins arrondis 52">
            <a:extLst>
              <a:ext uri="{FF2B5EF4-FFF2-40B4-BE49-F238E27FC236}">
                <a16:creationId xmlns:a16="http://schemas.microsoft.com/office/drawing/2014/main" id="{00000000-0008-0000-0000-000035000000}"/>
              </a:ext>
            </a:extLst>
          </xdr:cNvPr>
          <xdr:cNvSpPr/>
        </xdr:nvSpPr>
        <xdr:spPr>
          <a:xfrm>
            <a:off x="6467476" y="1057274"/>
            <a:ext cx="285749" cy="171451"/>
          </a:xfrm>
          <a:prstGeom prst="wedgeRoundRectCallout">
            <a:avLst>
              <a:gd name="adj1" fmla="val -89551"/>
              <a:gd name="adj2" fmla="val -14165"/>
              <a:gd name="adj3" fmla="val 16667"/>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T10</a:t>
            </a:r>
          </a:p>
        </xdr:txBody>
      </xdr:sp>
      <xdr:sp macro="" textlink="">
        <xdr:nvSpPr>
          <xdr:cNvPr id="56" name="ZoneTexte 55">
            <a:extLst>
              <a:ext uri="{FF2B5EF4-FFF2-40B4-BE49-F238E27FC236}">
                <a16:creationId xmlns:a16="http://schemas.microsoft.com/office/drawing/2014/main" id="{00000000-0008-0000-0000-000038000000}"/>
              </a:ext>
            </a:extLst>
          </xdr:cNvPr>
          <xdr:cNvSpPr txBox="1"/>
        </xdr:nvSpPr>
        <xdr:spPr>
          <a:xfrm>
            <a:off x="3724275" y="581025"/>
            <a:ext cx="219075"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100" b="1">
                <a:solidFill>
                  <a:srgbClr val="FF0000"/>
                </a:solidFill>
              </a:rPr>
              <a:t>T</a:t>
            </a:r>
          </a:p>
        </xdr:txBody>
      </xdr:sp>
      <xdr:sp macro="" textlink="">
        <xdr:nvSpPr>
          <xdr:cNvPr id="61" name="ZoneTexte 60">
            <a:extLst>
              <a:ext uri="{FF2B5EF4-FFF2-40B4-BE49-F238E27FC236}">
                <a16:creationId xmlns:a16="http://schemas.microsoft.com/office/drawing/2014/main" id="{00000000-0008-0000-0000-00003D000000}"/>
              </a:ext>
            </a:extLst>
          </xdr:cNvPr>
          <xdr:cNvSpPr txBox="1"/>
        </xdr:nvSpPr>
        <xdr:spPr>
          <a:xfrm>
            <a:off x="4133850" y="571500"/>
            <a:ext cx="219075"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100" b="1">
                <a:solidFill>
                  <a:srgbClr val="FF0000"/>
                </a:solidFill>
              </a:rPr>
              <a:t>T</a:t>
            </a:r>
          </a:p>
        </xdr:txBody>
      </xdr:sp>
      <xdr:sp macro="" textlink="">
        <xdr:nvSpPr>
          <xdr:cNvPr id="62" name="ZoneTexte 61">
            <a:extLst>
              <a:ext uri="{FF2B5EF4-FFF2-40B4-BE49-F238E27FC236}">
                <a16:creationId xmlns:a16="http://schemas.microsoft.com/office/drawing/2014/main" id="{00000000-0008-0000-0000-00003E000000}"/>
              </a:ext>
            </a:extLst>
          </xdr:cNvPr>
          <xdr:cNvSpPr txBox="1"/>
        </xdr:nvSpPr>
        <xdr:spPr>
          <a:xfrm>
            <a:off x="6524625" y="552450"/>
            <a:ext cx="219075"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100" b="1">
                <a:solidFill>
                  <a:srgbClr val="FF0000"/>
                </a:solidFill>
              </a:rPr>
              <a:t>T</a:t>
            </a:r>
          </a:p>
        </xdr:txBody>
      </xdr:sp>
      <xdr:sp macro="" textlink="">
        <xdr:nvSpPr>
          <xdr:cNvPr id="65" name="ZoneTexte 64">
            <a:extLst>
              <a:ext uri="{FF2B5EF4-FFF2-40B4-BE49-F238E27FC236}">
                <a16:creationId xmlns:a16="http://schemas.microsoft.com/office/drawing/2014/main" id="{00000000-0008-0000-0000-000041000000}"/>
              </a:ext>
            </a:extLst>
          </xdr:cNvPr>
          <xdr:cNvSpPr txBox="1"/>
        </xdr:nvSpPr>
        <xdr:spPr>
          <a:xfrm>
            <a:off x="2171700" y="866775"/>
            <a:ext cx="219075"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100">
                <a:solidFill>
                  <a:srgbClr val="0070C0"/>
                </a:solidFill>
              </a:rPr>
              <a:t>M</a:t>
            </a:r>
          </a:p>
        </xdr:txBody>
      </xdr:sp>
      <xdr:sp macro="" textlink="">
        <xdr:nvSpPr>
          <xdr:cNvPr id="40" name="Bulle ronde 39">
            <a:extLst>
              <a:ext uri="{FF2B5EF4-FFF2-40B4-BE49-F238E27FC236}">
                <a16:creationId xmlns:a16="http://schemas.microsoft.com/office/drawing/2014/main" id="{00000000-0008-0000-0000-000028000000}"/>
              </a:ext>
            </a:extLst>
          </xdr:cNvPr>
          <xdr:cNvSpPr/>
        </xdr:nvSpPr>
        <xdr:spPr>
          <a:xfrm>
            <a:off x="1514476" y="400050"/>
            <a:ext cx="352425" cy="171450"/>
          </a:xfrm>
          <a:prstGeom prst="wedgeEllipseCallout">
            <a:avLst>
              <a:gd name="adj1" fmla="val -40833"/>
              <a:gd name="adj2" fmla="val 129166"/>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P1</a:t>
            </a:r>
          </a:p>
        </xdr:txBody>
      </xdr:sp>
      <xdr:sp macro="" textlink="">
        <xdr:nvSpPr>
          <xdr:cNvPr id="96" name="Bulle ronde 95">
            <a:extLst>
              <a:ext uri="{FF2B5EF4-FFF2-40B4-BE49-F238E27FC236}">
                <a16:creationId xmlns:a16="http://schemas.microsoft.com/office/drawing/2014/main" id="{00000000-0008-0000-0000-000060000000}"/>
              </a:ext>
            </a:extLst>
          </xdr:cNvPr>
          <xdr:cNvSpPr/>
        </xdr:nvSpPr>
        <xdr:spPr>
          <a:xfrm>
            <a:off x="1905001" y="485775"/>
            <a:ext cx="352425" cy="171450"/>
          </a:xfrm>
          <a:prstGeom prst="wedgeEllipseCallout">
            <a:avLst>
              <a:gd name="adj1" fmla="val 94302"/>
              <a:gd name="adj2" fmla="val 62499"/>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P2</a:t>
            </a:r>
          </a:p>
        </xdr:txBody>
      </xdr:sp>
      <xdr:sp macro="" textlink="">
        <xdr:nvSpPr>
          <xdr:cNvPr id="97" name="Bulle ronde 96">
            <a:extLst>
              <a:ext uri="{FF2B5EF4-FFF2-40B4-BE49-F238E27FC236}">
                <a16:creationId xmlns:a16="http://schemas.microsoft.com/office/drawing/2014/main" id="{00000000-0008-0000-0000-000061000000}"/>
              </a:ext>
            </a:extLst>
          </xdr:cNvPr>
          <xdr:cNvSpPr/>
        </xdr:nvSpPr>
        <xdr:spPr>
          <a:xfrm>
            <a:off x="1809751" y="1190625"/>
            <a:ext cx="352425" cy="171450"/>
          </a:xfrm>
          <a:prstGeom prst="wedgeEllipseCallout">
            <a:avLst>
              <a:gd name="adj1" fmla="val 67275"/>
              <a:gd name="adj2" fmla="val 51388"/>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P3</a:t>
            </a:r>
          </a:p>
        </xdr:txBody>
      </xdr:sp>
      <xdr:sp macro="" textlink="">
        <xdr:nvSpPr>
          <xdr:cNvPr id="98" name="Bulle ronde 97">
            <a:extLst>
              <a:ext uri="{FF2B5EF4-FFF2-40B4-BE49-F238E27FC236}">
                <a16:creationId xmlns:a16="http://schemas.microsoft.com/office/drawing/2014/main" id="{00000000-0008-0000-0000-000062000000}"/>
              </a:ext>
            </a:extLst>
          </xdr:cNvPr>
          <xdr:cNvSpPr/>
        </xdr:nvSpPr>
        <xdr:spPr>
          <a:xfrm>
            <a:off x="5724526" y="1314450"/>
            <a:ext cx="352425" cy="171450"/>
          </a:xfrm>
          <a:prstGeom prst="wedgeEllipseCallout">
            <a:avLst>
              <a:gd name="adj1" fmla="val 99708"/>
              <a:gd name="adj2" fmla="val 12499"/>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P10</a:t>
            </a:r>
          </a:p>
        </xdr:txBody>
      </xdr:sp>
      <xdr:sp macro="" textlink="">
        <xdr:nvSpPr>
          <xdr:cNvPr id="99" name="Bulle ronde 98">
            <a:extLst>
              <a:ext uri="{FF2B5EF4-FFF2-40B4-BE49-F238E27FC236}">
                <a16:creationId xmlns:a16="http://schemas.microsoft.com/office/drawing/2014/main" id="{00000000-0008-0000-0000-000063000000}"/>
              </a:ext>
            </a:extLst>
          </xdr:cNvPr>
          <xdr:cNvSpPr/>
        </xdr:nvSpPr>
        <xdr:spPr>
          <a:xfrm>
            <a:off x="3371851" y="409575"/>
            <a:ext cx="352425" cy="171450"/>
          </a:xfrm>
          <a:prstGeom prst="wedgeEllipseCallout">
            <a:avLst>
              <a:gd name="adj1" fmla="val -40833"/>
              <a:gd name="adj2" fmla="val 129166"/>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P4</a:t>
            </a:r>
          </a:p>
        </xdr:txBody>
      </xdr:sp>
      <xdr:sp macro="" textlink="">
        <xdr:nvSpPr>
          <xdr:cNvPr id="100" name="Bulle ronde 99">
            <a:extLst>
              <a:ext uri="{FF2B5EF4-FFF2-40B4-BE49-F238E27FC236}">
                <a16:creationId xmlns:a16="http://schemas.microsoft.com/office/drawing/2014/main" id="{00000000-0008-0000-0000-000064000000}"/>
              </a:ext>
            </a:extLst>
          </xdr:cNvPr>
          <xdr:cNvSpPr/>
        </xdr:nvSpPr>
        <xdr:spPr>
          <a:xfrm>
            <a:off x="3981451" y="428625"/>
            <a:ext cx="352425" cy="171450"/>
          </a:xfrm>
          <a:prstGeom prst="wedgeEllipseCallout">
            <a:avLst>
              <a:gd name="adj1" fmla="val -40833"/>
              <a:gd name="adj2" fmla="val 129166"/>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P5</a:t>
            </a:r>
          </a:p>
        </xdr:txBody>
      </xdr:sp>
      <xdr:sp macro="" textlink="">
        <xdr:nvSpPr>
          <xdr:cNvPr id="101" name="Bulle ronde 100">
            <a:extLst>
              <a:ext uri="{FF2B5EF4-FFF2-40B4-BE49-F238E27FC236}">
                <a16:creationId xmlns:a16="http://schemas.microsoft.com/office/drawing/2014/main" id="{00000000-0008-0000-0000-000065000000}"/>
              </a:ext>
            </a:extLst>
          </xdr:cNvPr>
          <xdr:cNvSpPr/>
        </xdr:nvSpPr>
        <xdr:spPr>
          <a:xfrm>
            <a:off x="4695826" y="381000"/>
            <a:ext cx="352425" cy="171450"/>
          </a:xfrm>
          <a:prstGeom prst="wedgeEllipseCallout">
            <a:avLst>
              <a:gd name="adj1" fmla="val -40833"/>
              <a:gd name="adj2" fmla="val 129166"/>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P6</a:t>
            </a:r>
          </a:p>
        </xdr:txBody>
      </xdr:sp>
      <xdr:sp macro="" textlink="">
        <xdr:nvSpPr>
          <xdr:cNvPr id="102" name="Bulle ronde 101">
            <a:extLst>
              <a:ext uri="{FF2B5EF4-FFF2-40B4-BE49-F238E27FC236}">
                <a16:creationId xmlns:a16="http://schemas.microsoft.com/office/drawing/2014/main" id="{00000000-0008-0000-0000-000066000000}"/>
              </a:ext>
            </a:extLst>
          </xdr:cNvPr>
          <xdr:cNvSpPr/>
        </xdr:nvSpPr>
        <xdr:spPr>
          <a:xfrm>
            <a:off x="5248276" y="419100"/>
            <a:ext cx="352425" cy="171450"/>
          </a:xfrm>
          <a:prstGeom prst="wedgeEllipseCallout">
            <a:avLst>
              <a:gd name="adj1" fmla="val -5698"/>
              <a:gd name="adj2" fmla="val 123610"/>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P7</a:t>
            </a:r>
          </a:p>
        </xdr:txBody>
      </xdr:sp>
      <xdr:sp macro="" textlink="">
        <xdr:nvSpPr>
          <xdr:cNvPr id="103" name="Bulle ronde 102">
            <a:extLst>
              <a:ext uri="{FF2B5EF4-FFF2-40B4-BE49-F238E27FC236}">
                <a16:creationId xmlns:a16="http://schemas.microsoft.com/office/drawing/2014/main" id="{00000000-0008-0000-0000-000067000000}"/>
              </a:ext>
            </a:extLst>
          </xdr:cNvPr>
          <xdr:cNvSpPr/>
        </xdr:nvSpPr>
        <xdr:spPr>
          <a:xfrm>
            <a:off x="4524376" y="1228725"/>
            <a:ext cx="352425" cy="171450"/>
          </a:xfrm>
          <a:prstGeom prst="wedgeEllipseCallout">
            <a:avLst>
              <a:gd name="adj1" fmla="val 80789"/>
              <a:gd name="adj2" fmla="val 18055"/>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P8</a:t>
            </a:r>
          </a:p>
        </xdr:txBody>
      </xdr:sp>
      <xdr:sp macro="" textlink="">
        <xdr:nvSpPr>
          <xdr:cNvPr id="104" name="Bulle ronde 103">
            <a:extLst>
              <a:ext uri="{FF2B5EF4-FFF2-40B4-BE49-F238E27FC236}">
                <a16:creationId xmlns:a16="http://schemas.microsoft.com/office/drawing/2014/main" id="{00000000-0008-0000-0000-000068000000}"/>
              </a:ext>
            </a:extLst>
          </xdr:cNvPr>
          <xdr:cNvSpPr/>
        </xdr:nvSpPr>
        <xdr:spPr>
          <a:xfrm>
            <a:off x="6391276" y="381000"/>
            <a:ext cx="352425" cy="171450"/>
          </a:xfrm>
          <a:prstGeom prst="wedgeEllipseCallout">
            <a:avLst>
              <a:gd name="adj1" fmla="val -40833"/>
              <a:gd name="adj2" fmla="val 129166"/>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P9</a:t>
            </a:r>
          </a:p>
        </xdr:txBody>
      </xdr:sp>
      <xdr:sp macro="" textlink="">
        <xdr:nvSpPr>
          <xdr:cNvPr id="105" name="Rectangle à coins arrondis 104">
            <a:extLst>
              <a:ext uri="{FF2B5EF4-FFF2-40B4-BE49-F238E27FC236}">
                <a16:creationId xmlns:a16="http://schemas.microsoft.com/office/drawing/2014/main" id="{00000000-0008-0000-0000-000069000000}"/>
              </a:ext>
            </a:extLst>
          </xdr:cNvPr>
          <xdr:cNvSpPr/>
        </xdr:nvSpPr>
        <xdr:spPr>
          <a:xfrm>
            <a:off x="1238250" y="1562099"/>
            <a:ext cx="4752975" cy="247651"/>
          </a:xfrm>
          <a:prstGeom prst="roundRect">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b="1">
                <a:solidFill>
                  <a:srgbClr val="0070C0"/>
                </a:solidFill>
              </a:rPr>
              <a:t>Dans cet exemple, on suppose que le réseau est sans contrainte et N et N-2</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371474</xdr:colOff>
      <xdr:row>0</xdr:row>
      <xdr:rowOff>85725</xdr:rowOff>
    </xdr:from>
    <xdr:to>
      <xdr:col>19</xdr:col>
      <xdr:colOff>371474</xdr:colOff>
      <xdr:row>5</xdr:row>
      <xdr:rowOff>171450</xdr:rowOff>
    </xdr:to>
    <xdr:grpSp>
      <xdr:nvGrpSpPr>
        <xdr:cNvPr id="2" name="Groupe 1">
          <a:extLst>
            <a:ext uri="{FF2B5EF4-FFF2-40B4-BE49-F238E27FC236}">
              <a16:creationId xmlns:a16="http://schemas.microsoft.com/office/drawing/2014/main" id="{00000000-0008-0000-0100-000002000000}"/>
            </a:ext>
          </a:extLst>
        </xdr:cNvPr>
        <xdr:cNvGrpSpPr/>
      </xdr:nvGrpSpPr>
      <xdr:grpSpPr>
        <a:xfrm>
          <a:off x="2943224" y="85725"/>
          <a:ext cx="7629525" cy="1400175"/>
          <a:chOff x="371475" y="381000"/>
          <a:chExt cx="7629525" cy="1428750"/>
        </a:xfrm>
      </xdr:grpSpPr>
      <xdr:cxnSp macro="">
        <xdr:nvCxnSpPr>
          <xdr:cNvPr id="3" name="Connecteur droit 2">
            <a:extLst>
              <a:ext uri="{FF2B5EF4-FFF2-40B4-BE49-F238E27FC236}">
                <a16:creationId xmlns:a16="http://schemas.microsoft.com/office/drawing/2014/main" id="{00000000-0008-0000-0100-000003000000}"/>
              </a:ext>
            </a:extLst>
          </xdr:cNvPr>
          <xdr:cNvCxnSpPr>
            <a:stCxn id="4" idx="6"/>
            <a:endCxn id="12" idx="1"/>
          </xdr:cNvCxnSpPr>
        </xdr:nvCxnSpPr>
        <xdr:spPr>
          <a:xfrm>
            <a:off x="752475" y="809625"/>
            <a:ext cx="5553075"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sp macro="" textlink="">
        <xdr:nvSpPr>
          <xdr:cNvPr id="4" name="Ellipse 3">
            <a:extLst>
              <a:ext uri="{FF2B5EF4-FFF2-40B4-BE49-F238E27FC236}">
                <a16:creationId xmlns:a16="http://schemas.microsoft.com/office/drawing/2014/main" id="{00000000-0008-0000-0100-000004000000}"/>
              </a:ext>
            </a:extLst>
          </xdr:cNvPr>
          <xdr:cNvSpPr/>
        </xdr:nvSpPr>
        <xdr:spPr>
          <a:xfrm>
            <a:off x="371475" y="619125"/>
            <a:ext cx="381000" cy="3810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5" name="Ellipse 4">
            <a:extLst>
              <a:ext uri="{FF2B5EF4-FFF2-40B4-BE49-F238E27FC236}">
                <a16:creationId xmlns:a16="http://schemas.microsoft.com/office/drawing/2014/main" id="{00000000-0008-0000-0100-000005000000}"/>
              </a:ext>
            </a:extLst>
          </xdr:cNvPr>
          <xdr:cNvSpPr/>
        </xdr:nvSpPr>
        <xdr:spPr>
          <a:xfrm>
            <a:off x="7620000" y="619125"/>
            <a:ext cx="381000" cy="3810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6" name="Ellipse 5">
            <a:extLst>
              <a:ext uri="{FF2B5EF4-FFF2-40B4-BE49-F238E27FC236}">
                <a16:creationId xmlns:a16="http://schemas.microsoft.com/office/drawing/2014/main" id="{00000000-0008-0000-0100-000006000000}"/>
              </a:ext>
            </a:extLst>
          </xdr:cNvPr>
          <xdr:cNvSpPr/>
        </xdr:nvSpPr>
        <xdr:spPr>
          <a:xfrm>
            <a:off x="1428750" y="719625"/>
            <a:ext cx="180000" cy="180000"/>
          </a:xfrm>
          <a:prstGeom prst="ellipse">
            <a:avLst/>
          </a:prstGeom>
          <a:pattFill prst="pct25">
            <a:fgClr>
              <a:srgbClr val="FF0000"/>
            </a:fgClr>
            <a:bgClr>
              <a:schemeClr val="bg1"/>
            </a:bgClr>
          </a:patt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7" name="Rectangle 6">
            <a:extLst>
              <a:ext uri="{FF2B5EF4-FFF2-40B4-BE49-F238E27FC236}">
                <a16:creationId xmlns:a16="http://schemas.microsoft.com/office/drawing/2014/main" id="{00000000-0008-0000-0100-000007000000}"/>
              </a:ext>
            </a:extLst>
          </xdr:cNvPr>
          <xdr:cNvSpPr/>
        </xdr:nvSpPr>
        <xdr:spPr>
          <a:xfrm>
            <a:off x="2228850" y="1295400"/>
            <a:ext cx="180000" cy="180000"/>
          </a:xfrm>
          <a:prstGeom prst="rect">
            <a:avLst/>
          </a:prstGeom>
          <a:pattFill prst="pct25">
            <a:fgClr>
              <a:srgbClr val="FF0000"/>
            </a:fgClr>
            <a:bgClr>
              <a:schemeClr val="bg1"/>
            </a:bgClr>
          </a:patt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8" name="Organigramme : Décision 7">
            <a:extLst>
              <a:ext uri="{FF2B5EF4-FFF2-40B4-BE49-F238E27FC236}">
                <a16:creationId xmlns:a16="http://schemas.microsoft.com/office/drawing/2014/main" id="{00000000-0008-0000-0100-000008000000}"/>
              </a:ext>
            </a:extLst>
          </xdr:cNvPr>
          <xdr:cNvSpPr/>
        </xdr:nvSpPr>
        <xdr:spPr>
          <a:xfrm>
            <a:off x="2343150" y="683625"/>
            <a:ext cx="180000" cy="252000"/>
          </a:xfrm>
          <a:prstGeom prst="flowChartDecision">
            <a:avLst/>
          </a:prstGeom>
          <a:pattFill prst="pct30">
            <a:fgClr>
              <a:schemeClr val="accent1"/>
            </a:fgClr>
            <a:bgClr>
              <a:schemeClr val="bg1"/>
            </a:bgClr>
          </a:patt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xnSp macro="">
        <xdr:nvCxnSpPr>
          <xdr:cNvPr id="9" name="Connecteur droit 8">
            <a:extLst>
              <a:ext uri="{FF2B5EF4-FFF2-40B4-BE49-F238E27FC236}">
                <a16:creationId xmlns:a16="http://schemas.microsoft.com/office/drawing/2014/main" id="{00000000-0008-0000-0100-000009000000}"/>
              </a:ext>
            </a:extLst>
          </xdr:cNvPr>
          <xdr:cNvCxnSpPr>
            <a:stCxn id="8" idx="2"/>
            <a:endCxn id="7" idx="0"/>
          </xdr:cNvCxnSpPr>
        </xdr:nvCxnSpPr>
        <xdr:spPr>
          <a:xfrm flipH="1">
            <a:off x="2318850" y="935625"/>
            <a:ext cx="114300" cy="359775"/>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sp macro="" textlink="">
        <xdr:nvSpPr>
          <xdr:cNvPr id="10" name="Ellipse 9">
            <a:extLst>
              <a:ext uri="{FF2B5EF4-FFF2-40B4-BE49-F238E27FC236}">
                <a16:creationId xmlns:a16="http://schemas.microsoft.com/office/drawing/2014/main" id="{00000000-0008-0000-0100-00000A000000}"/>
              </a:ext>
            </a:extLst>
          </xdr:cNvPr>
          <xdr:cNvSpPr/>
        </xdr:nvSpPr>
        <xdr:spPr>
          <a:xfrm>
            <a:off x="3295650" y="719625"/>
            <a:ext cx="180000" cy="180000"/>
          </a:xfrm>
          <a:prstGeom prst="ellipse">
            <a:avLst/>
          </a:prstGeom>
          <a:pattFill prst="pct25">
            <a:fgClr>
              <a:srgbClr val="FF0000"/>
            </a:fgClr>
            <a:bgClr>
              <a:schemeClr val="bg1"/>
            </a:bgClr>
          </a:patt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1" name="Ellipse 10">
            <a:extLst>
              <a:ext uri="{FF2B5EF4-FFF2-40B4-BE49-F238E27FC236}">
                <a16:creationId xmlns:a16="http://schemas.microsoft.com/office/drawing/2014/main" id="{00000000-0008-0000-0100-00000B000000}"/>
              </a:ext>
            </a:extLst>
          </xdr:cNvPr>
          <xdr:cNvSpPr/>
        </xdr:nvSpPr>
        <xdr:spPr>
          <a:xfrm>
            <a:off x="3933825" y="719625"/>
            <a:ext cx="180000" cy="180000"/>
          </a:xfrm>
          <a:prstGeom prst="ellipse">
            <a:avLst/>
          </a:prstGeom>
          <a:solidFill>
            <a:srgbClr val="FF0000"/>
          </a:solid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2" name="Organigramme : Décision 11">
            <a:extLst>
              <a:ext uri="{FF2B5EF4-FFF2-40B4-BE49-F238E27FC236}">
                <a16:creationId xmlns:a16="http://schemas.microsoft.com/office/drawing/2014/main" id="{00000000-0008-0000-0100-00000C000000}"/>
              </a:ext>
            </a:extLst>
          </xdr:cNvPr>
          <xdr:cNvSpPr/>
        </xdr:nvSpPr>
        <xdr:spPr>
          <a:xfrm>
            <a:off x="6305550" y="683625"/>
            <a:ext cx="180000" cy="252000"/>
          </a:xfrm>
          <a:prstGeom prst="flowChartDecision">
            <a:avLst/>
          </a:prstGeom>
          <a:pattFill prst="pct30">
            <a:fgClr>
              <a:schemeClr val="accent1"/>
            </a:fgClr>
            <a:bgClr>
              <a:schemeClr val="bg1"/>
            </a:bgClr>
          </a:patt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3" name="Ellipse 12">
            <a:extLst>
              <a:ext uri="{FF2B5EF4-FFF2-40B4-BE49-F238E27FC236}">
                <a16:creationId xmlns:a16="http://schemas.microsoft.com/office/drawing/2014/main" id="{00000000-0008-0000-0100-00000D000000}"/>
              </a:ext>
            </a:extLst>
          </xdr:cNvPr>
          <xdr:cNvSpPr/>
        </xdr:nvSpPr>
        <xdr:spPr>
          <a:xfrm>
            <a:off x="5343525" y="719625"/>
            <a:ext cx="180000" cy="180000"/>
          </a:xfrm>
          <a:prstGeom prst="ellipse">
            <a:avLst/>
          </a:prstGeom>
          <a:pattFill prst="pct25">
            <a:fgClr>
              <a:srgbClr val="FF0000"/>
            </a:fgClr>
            <a:bgClr>
              <a:schemeClr val="bg1"/>
            </a:bgClr>
          </a:patt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4" name="Rectangle 13">
            <a:extLst>
              <a:ext uri="{FF2B5EF4-FFF2-40B4-BE49-F238E27FC236}">
                <a16:creationId xmlns:a16="http://schemas.microsoft.com/office/drawing/2014/main" id="{00000000-0008-0000-0100-00000E000000}"/>
              </a:ext>
            </a:extLst>
          </xdr:cNvPr>
          <xdr:cNvSpPr/>
        </xdr:nvSpPr>
        <xdr:spPr>
          <a:xfrm>
            <a:off x="4991100" y="1257300"/>
            <a:ext cx="180000" cy="180000"/>
          </a:xfrm>
          <a:prstGeom prst="rect">
            <a:avLst/>
          </a:prstGeom>
          <a:pattFill prst="pct25">
            <a:fgClr>
              <a:srgbClr val="FF0000"/>
            </a:fgClr>
            <a:bgClr>
              <a:schemeClr val="bg1"/>
            </a:bgClr>
          </a:patt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xnSp macro="">
        <xdr:nvCxnSpPr>
          <xdr:cNvPr id="15" name="Connecteur droit 14">
            <a:extLst>
              <a:ext uri="{FF2B5EF4-FFF2-40B4-BE49-F238E27FC236}">
                <a16:creationId xmlns:a16="http://schemas.microsoft.com/office/drawing/2014/main" id="{00000000-0008-0000-0100-00000F000000}"/>
              </a:ext>
            </a:extLst>
          </xdr:cNvPr>
          <xdr:cNvCxnSpPr>
            <a:stCxn id="13" idx="4"/>
            <a:endCxn id="14" idx="0"/>
          </xdr:cNvCxnSpPr>
        </xdr:nvCxnSpPr>
        <xdr:spPr>
          <a:xfrm flipH="1">
            <a:off x="5081100" y="899625"/>
            <a:ext cx="352425" cy="357675"/>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sp macro="" textlink="">
        <xdr:nvSpPr>
          <xdr:cNvPr id="16" name="Ellipse 15">
            <a:extLst>
              <a:ext uri="{FF2B5EF4-FFF2-40B4-BE49-F238E27FC236}">
                <a16:creationId xmlns:a16="http://schemas.microsoft.com/office/drawing/2014/main" id="{00000000-0008-0000-0100-000010000000}"/>
              </a:ext>
            </a:extLst>
          </xdr:cNvPr>
          <xdr:cNvSpPr/>
        </xdr:nvSpPr>
        <xdr:spPr>
          <a:xfrm>
            <a:off x="4610100" y="700575"/>
            <a:ext cx="180000" cy="180000"/>
          </a:xfrm>
          <a:prstGeom prst="ellipse">
            <a:avLst/>
          </a:prstGeom>
          <a:pattFill prst="pct25">
            <a:fgClr>
              <a:srgbClr val="FF0000"/>
            </a:fgClr>
            <a:bgClr>
              <a:schemeClr val="bg1"/>
            </a:bgClr>
          </a:patt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7" name="Rectangle 16">
            <a:extLst>
              <a:ext uri="{FF2B5EF4-FFF2-40B4-BE49-F238E27FC236}">
                <a16:creationId xmlns:a16="http://schemas.microsoft.com/office/drawing/2014/main" id="{00000000-0008-0000-0100-000011000000}"/>
              </a:ext>
            </a:extLst>
          </xdr:cNvPr>
          <xdr:cNvSpPr/>
        </xdr:nvSpPr>
        <xdr:spPr>
          <a:xfrm>
            <a:off x="6248400" y="1314450"/>
            <a:ext cx="180000" cy="180000"/>
          </a:xfrm>
          <a:prstGeom prst="rect">
            <a:avLst/>
          </a:prstGeom>
          <a:pattFill prst="pct25">
            <a:fgClr>
              <a:srgbClr val="FF0000"/>
            </a:fgClr>
            <a:bgClr>
              <a:schemeClr val="bg1"/>
            </a:bgClr>
          </a:patt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xnSp macro="">
        <xdr:nvCxnSpPr>
          <xdr:cNvPr id="18" name="Connecteur droit 17">
            <a:extLst>
              <a:ext uri="{FF2B5EF4-FFF2-40B4-BE49-F238E27FC236}">
                <a16:creationId xmlns:a16="http://schemas.microsoft.com/office/drawing/2014/main" id="{00000000-0008-0000-0100-000012000000}"/>
              </a:ext>
            </a:extLst>
          </xdr:cNvPr>
          <xdr:cNvCxnSpPr>
            <a:stCxn id="12" idx="2"/>
            <a:endCxn id="17" idx="0"/>
          </xdr:cNvCxnSpPr>
        </xdr:nvCxnSpPr>
        <xdr:spPr>
          <a:xfrm flipH="1">
            <a:off x="6338400" y="935625"/>
            <a:ext cx="57150" cy="378825"/>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9" name="Connecteur droit 18">
            <a:extLst>
              <a:ext uri="{FF2B5EF4-FFF2-40B4-BE49-F238E27FC236}">
                <a16:creationId xmlns:a16="http://schemas.microsoft.com/office/drawing/2014/main" id="{00000000-0008-0000-0100-000013000000}"/>
              </a:ext>
            </a:extLst>
          </xdr:cNvPr>
          <xdr:cNvCxnSpPr>
            <a:endCxn id="5" idx="2"/>
          </xdr:cNvCxnSpPr>
        </xdr:nvCxnSpPr>
        <xdr:spPr>
          <a:xfrm flipV="1">
            <a:off x="6539224" y="809626"/>
            <a:ext cx="1080775" cy="10287"/>
          </a:xfrm>
          <a:prstGeom prst="line">
            <a:avLst/>
          </a:prstGeom>
          <a:ln>
            <a:solidFill>
              <a:srgbClr val="0070C0"/>
            </a:solidFill>
          </a:ln>
        </xdr:spPr>
        <xdr:style>
          <a:lnRef idx="1">
            <a:schemeClr val="accent1"/>
          </a:lnRef>
          <a:fillRef idx="0">
            <a:schemeClr val="accent1"/>
          </a:fillRef>
          <a:effectRef idx="0">
            <a:schemeClr val="accent1"/>
          </a:effectRef>
          <a:fontRef idx="minor">
            <a:schemeClr val="tx1"/>
          </a:fontRef>
        </xdr:style>
      </xdr:cxnSp>
      <xdr:grpSp>
        <xdr:nvGrpSpPr>
          <xdr:cNvPr id="20" name="Groupe 19">
            <a:extLst>
              <a:ext uri="{FF2B5EF4-FFF2-40B4-BE49-F238E27FC236}">
                <a16:creationId xmlns:a16="http://schemas.microsoft.com/office/drawing/2014/main" id="{00000000-0008-0000-0100-000014000000}"/>
              </a:ext>
            </a:extLst>
          </xdr:cNvPr>
          <xdr:cNvGrpSpPr/>
        </xdr:nvGrpSpPr>
        <xdr:grpSpPr>
          <a:xfrm>
            <a:off x="6495318" y="744416"/>
            <a:ext cx="39199" cy="142875"/>
            <a:chOff x="5702178" y="1696000"/>
            <a:chExt cx="39199" cy="144707"/>
          </a:xfrm>
        </xdr:grpSpPr>
        <xdr:cxnSp macro="">
          <xdr:nvCxnSpPr>
            <xdr:cNvPr id="48" name="Connecteur droit 47">
              <a:extLst>
                <a:ext uri="{FF2B5EF4-FFF2-40B4-BE49-F238E27FC236}">
                  <a16:creationId xmlns:a16="http://schemas.microsoft.com/office/drawing/2014/main" id="{00000000-0008-0000-0100-000030000000}"/>
                </a:ext>
              </a:extLst>
            </xdr:cNvPr>
            <xdr:cNvCxnSpPr/>
          </xdr:nvCxnSpPr>
          <xdr:spPr>
            <a:xfrm>
              <a:off x="5702178" y="1696000"/>
              <a:ext cx="0" cy="144707"/>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49" name="Connecteur droit 48">
              <a:extLst>
                <a:ext uri="{FF2B5EF4-FFF2-40B4-BE49-F238E27FC236}">
                  <a16:creationId xmlns:a16="http://schemas.microsoft.com/office/drawing/2014/main" id="{00000000-0008-0000-0100-000031000000}"/>
                </a:ext>
              </a:extLst>
            </xdr:cNvPr>
            <xdr:cNvCxnSpPr/>
          </xdr:nvCxnSpPr>
          <xdr:spPr>
            <a:xfrm>
              <a:off x="5741377" y="1696000"/>
              <a:ext cx="0" cy="144707"/>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21" name="Rectangle à coins arrondis 20">
            <a:extLst>
              <a:ext uri="{FF2B5EF4-FFF2-40B4-BE49-F238E27FC236}">
                <a16:creationId xmlns:a16="http://schemas.microsoft.com/office/drawing/2014/main" id="{00000000-0008-0000-0100-000015000000}"/>
              </a:ext>
            </a:extLst>
          </xdr:cNvPr>
          <xdr:cNvSpPr/>
        </xdr:nvSpPr>
        <xdr:spPr>
          <a:xfrm>
            <a:off x="381001" y="1123950"/>
            <a:ext cx="742950" cy="285750"/>
          </a:xfrm>
          <a:prstGeom prst="wedgeRoundRectCallout">
            <a:avLst>
              <a:gd name="adj1" fmla="val 4808"/>
              <a:gd name="adj2" fmla="val -150833"/>
              <a:gd name="adj3" fmla="val 16667"/>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fr-FR" sz="1100">
                <a:solidFill>
                  <a:srgbClr val="FF0000"/>
                </a:solidFill>
              </a:rPr>
              <a:t>Départ</a:t>
            </a:r>
            <a:r>
              <a:rPr lang="fr-FR" sz="1100" baseline="0">
                <a:solidFill>
                  <a:srgbClr val="FF0000"/>
                </a:solidFill>
              </a:rPr>
              <a:t> A</a:t>
            </a:r>
            <a:endParaRPr lang="fr-FR" sz="1100">
              <a:solidFill>
                <a:srgbClr val="FF0000"/>
              </a:solidFill>
            </a:endParaRPr>
          </a:p>
        </xdr:txBody>
      </xdr:sp>
      <xdr:sp macro="" textlink="">
        <xdr:nvSpPr>
          <xdr:cNvPr id="22" name="Rectangle à coins arrondis 21">
            <a:extLst>
              <a:ext uri="{FF2B5EF4-FFF2-40B4-BE49-F238E27FC236}">
                <a16:creationId xmlns:a16="http://schemas.microsoft.com/office/drawing/2014/main" id="{00000000-0008-0000-0100-000016000000}"/>
              </a:ext>
            </a:extLst>
          </xdr:cNvPr>
          <xdr:cNvSpPr/>
        </xdr:nvSpPr>
        <xdr:spPr>
          <a:xfrm>
            <a:off x="7000876" y="1028700"/>
            <a:ext cx="733425" cy="285750"/>
          </a:xfrm>
          <a:prstGeom prst="wedgeRoundRectCallout">
            <a:avLst>
              <a:gd name="adj1" fmla="val -29291"/>
              <a:gd name="adj2" fmla="val -130833"/>
              <a:gd name="adj3" fmla="val 16667"/>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fr-FR" sz="1100">
                <a:solidFill>
                  <a:srgbClr val="0070C0"/>
                </a:solidFill>
              </a:rPr>
              <a:t>Départ</a:t>
            </a:r>
            <a:r>
              <a:rPr lang="fr-FR" sz="1100" baseline="0">
                <a:solidFill>
                  <a:srgbClr val="0070C0"/>
                </a:solidFill>
              </a:rPr>
              <a:t> B</a:t>
            </a:r>
            <a:endParaRPr lang="fr-FR" sz="1100">
              <a:solidFill>
                <a:srgbClr val="0070C0"/>
              </a:solidFill>
            </a:endParaRPr>
          </a:p>
        </xdr:txBody>
      </xdr:sp>
      <xdr:sp macro="" textlink="">
        <xdr:nvSpPr>
          <xdr:cNvPr id="23" name="Rectangle à coins arrondis 22">
            <a:extLst>
              <a:ext uri="{FF2B5EF4-FFF2-40B4-BE49-F238E27FC236}">
                <a16:creationId xmlns:a16="http://schemas.microsoft.com/office/drawing/2014/main" id="{00000000-0008-0000-0100-000017000000}"/>
              </a:ext>
            </a:extLst>
          </xdr:cNvPr>
          <xdr:cNvSpPr/>
        </xdr:nvSpPr>
        <xdr:spPr>
          <a:xfrm>
            <a:off x="942976" y="904874"/>
            <a:ext cx="285749" cy="171451"/>
          </a:xfrm>
          <a:prstGeom prst="wedgeRoundRectCallout">
            <a:avLst>
              <a:gd name="adj1" fmla="val -2884"/>
              <a:gd name="adj2" fmla="val -103054"/>
              <a:gd name="adj3" fmla="val 16667"/>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T1</a:t>
            </a:r>
          </a:p>
        </xdr:txBody>
      </xdr:sp>
      <xdr:sp macro="" textlink="">
        <xdr:nvSpPr>
          <xdr:cNvPr id="24" name="Rectangle à coins arrondis 23">
            <a:extLst>
              <a:ext uri="{FF2B5EF4-FFF2-40B4-BE49-F238E27FC236}">
                <a16:creationId xmlns:a16="http://schemas.microsoft.com/office/drawing/2014/main" id="{00000000-0008-0000-0100-000018000000}"/>
              </a:ext>
            </a:extLst>
          </xdr:cNvPr>
          <xdr:cNvSpPr/>
        </xdr:nvSpPr>
        <xdr:spPr>
          <a:xfrm>
            <a:off x="1800226" y="914399"/>
            <a:ext cx="285749" cy="171451"/>
          </a:xfrm>
          <a:prstGeom prst="wedgeRoundRectCallout">
            <a:avLst>
              <a:gd name="adj1" fmla="val 7116"/>
              <a:gd name="adj2" fmla="val -108609"/>
              <a:gd name="adj3" fmla="val 16667"/>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T2</a:t>
            </a:r>
          </a:p>
        </xdr:txBody>
      </xdr:sp>
      <xdr:sp macro="" textlink="">
        <xdr:nvSpPr>
          <xdr:cNvPr id="25" name="Rectangle à coins arrondis 24">
            <a:extLst>
              <a:ext uri="{FF2B5EF4-FFF2-40B4-BE49-F238E27FC236}">
                <a16:creationId xmlns:a16="http://schemas.microsoft.com/office/drawing/2014/main" id="{00000000-0008-0000-0100-000019000000}"/>
              </a:ext>
            </a:extLst>
          </xdr:cNvPr>
          <xdr:cNvSpPr/>
        </xdr:nvSpPr>
        <xdr:spPr>
          <a:xfrm>
            <a:off x="2476501" y="1076324"/>
            <a:ext cx="285749" cy="171451"/>
          </a:xfrm>
          <a:prstGeom prst="wedgeRoundRectCallout">
            <a:avLst>
              <a:gd name="adj1" fmla="val -82884"/>
              <a:gd name="adj2" fmla="val -36387"/>
              <a:gd name="adj3" fmla="val 16667"/>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T3</a:t>
            </a:r>
          </a:p>
        </xdr:txBody>
      </xdr:sp>
      <xdr:sp macro="" textlink="">
        <xdr:nvSpPr>
          <xdr:cNvPr id="26" name="Rectangle à coins arrondis 25">
            <a:extLst>
              <a:ext uri="{FF2B5EF4-FFF2-40B4-BE49-F238E27FC236}">
                <a16:creationId xmlns:a16="http://schemas.microsoft.com/office/drawing/2014/main" id="{00000000-0008-0000-0100-00001A000000}"/>
              </a:ext>
            </a:extLst>
          </xdr:cNvPr>
          <xdr:cNvSpPr/>
        </xdr:nvSpPr>
        <xdr:spPr>
          <a:xfrm>
            <a:off x="2847976" y="942974"/>
            <a:ext cx="285749" cy="171451"/>
          </a:xfrm>
          <a:prstGeom prst="wedgeRoundRectCallout">
            <a:avLst>
              <a:gd name="adj1" fmla="val -52884"/>
              <a:gd name="adj2" fmla="val -119720"/>
              <a:gd name="adj3" fmla="val 16667"/>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T4</a:t>
            </a:r>
          </a:p>
        </xdr:txBody>
      </xdr:sp>
      <xdr:sp macro="" textlink="">
        <xdr:nvSpPr>
          <xdr:cNvPr id="27" name="Rectangle à coins arrondis 26">
            <a:extLst>
              <a:ext uri="{FF2B5EF4-FFF2-40B4-BE49-F238E27FC236}">
                <a16:creationId xmlns:a16="http://schemas.microsoft.com/office/drawing/2014/main" id="{00000000-0008-0000-0100-00001B000000}"/>
              </a:ext>
            </a:extLst>
          </xdr:cNvPr>
          <xdr:cNvSpPr/>
        </xdr:nvSpPr>
        <xdr:spPr>
          <a:xfrm>
            <a:off x="3505201" y="1000124"/>
            <a:ext cx="285749" cy="171451"/>
          </a:xfrm>
          <a:prstGeom prst="wedgeRoundRectCallout">
            <a:avLst>
              <a:gd name="adj1" fmla="val 449"/>
              <a:gd name="adj2" fmla="val -164164"/>
              <a:gd name="adj3" fmla="val 16667"/>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T5</a:t>
            </a:r>
          </a:p>
        </xdr:txBody>
      </xdr:sp>
      <xdr:sp macro="" textlink="">
        <xdr:nvSpPr>
          <xdr:cNvPr id="28" name="Rectangle à coins arrondis 27">
            <a:extLst>
              <a:ext uri="{FF2B5EF4-FFF2-40B4-BE49-F238E27FC236}">
                <a16:creationId xmlns:a16="http://schemas.microsoft.com/office/drawing/2014/main" id="{00000000-0008-0000-0100-00001C000000}"/>
              </a:ext>
            </a:extLst>
          </xdr:cNvPr>
          <xdr:cNvSpPr/>
        </xdr:nvSpPr>
        <xdr:spPr>
          <a:xfrm>
            <a:off x="4152901" y="952499"/>
            <a:ext cx="285749" cy="171451"/>
          </a:xfrm>
          <a:prstGeom prst="wedgeRoundRectCallout">
            <a:avLst>
              <a:gd name="adj1" fmla="val 449"/>
              <a:gd name="adj2" fmla="val -125276"/>
              <a:gd name="adj3" fmla="val 16667"/>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T6</a:t>
            </a:r>
          </a:p>
        </xdr:txBody>
      </xdr:sp>
      <xdr:sp macro="" textlink="">
        <xdr:nvSpPr>
          <xdr:cNvPr id="29" name="Rectangle à coins arrondis 28">
            <a:extLst>
              <a:ext uri="{FF2B5EF4-FFF2-40B4-BE49-F238E27FC236}">
                <a16:creationId xmlns:a16="http://schemas.microsoft.com/office/drawing/2014/main" id="{00000000-0008-0000-0100-00001D000000}"/>
              </a:ext>
            </a:extLst>
          </xdr:cNvPr>
          <xdr:cNvSpPr/>
        </xdr:nvSpPr>
        <xdr:spPr>
          <a:xfrm>
            <a:off x="4886326" y="885824"/>
            <a:ext cx="285749" cy="171451"/>
          </a:xfrm>
          <a:prstGeom prst="wedgeRoundRectCallout">
            <a:avLst>
              <a:gd name="adj1" fmla="val -42884"/>
              <a:gd name="adj2" fmla="val -91943"/>
              <a:gd name="adj3" fmla="val 16667"/>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T7</a:t>
            </a:r>
          </a:p>
        </xdr:txBody>
      </xdr:sp>
      <xdr:sp macro="" textlink="">
        <xdr:nvSpPr>
          <xdr:cNvPr id="30" name="Rectangle à coins arrondis 29">
            <a:extLst>
              <a:ext uri="{FF2B5EF4-FFF2-40B4-BE49-F238E27FC236}">
                <a16:creationId xmlns:a16="http://schemas.microsoft.com/office/drawing/2014/main" id="{00000000-0008-0000-0100-00001E000000}"/>
              </a:ext>
            </a:extLst>
          </xdr:cNvPr>
          <xdr:cNvSpPr/>
        </xdr:nvSpPr>
        <xdr:spPr>
          <a:xfrm>
            <a:off x="5715001" y="923924"/>
            <a:ext cx="285749" cy="171451"/>
          </a:xfrm>
          <a:prstGeom prst="wedgeRoundRectCallout">
            <a:avLst>
              <a:gd name="adj1" fmla="val -66218"/>
              <a:gd name="adj2" fmla="val -114165"/>
              <a:gd name="adj3" fmla="val 16667"/>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T9</a:t>
            </a:r>
          </a:p>
        </xdr:txBody>
      </xdr:sp>
      <xdr:sp macro="" textlink="">
        <xdr:nvSpPr>
          <xdr:cNvPr id="31" name="Rectangle à coins arrondis 30">
            <a:extLst>
              <a:ext uri="{FF2B5EF4-FFF2-40B4-BE49-F238E27FC236}">
                <a16:creationId xmlns:a16="http://schemas.microsoft.com/office/drawing/2014/main" id="{00000000-0008-0000-0100-00001F000000}"/>
              </a:ext>
            </a:extLst>
          </xdr:cNvPr>
          <xdr:cNvSpPr/>
        </xdr:nvSpPr>
        <xdr:spPr>
          <a:xfrm>
            <a:off x="5372101" y="1076324"/>
            <a:ext cx="285749" cy="171451"/>
          </a:xfrm>
          <a:prstGeom prst="wedgeRoundRectCallout">
            <a:avLst>
              <a:gd name="adj1" fmla="val -99551"/>
              <a:gd name="adj2" fmla="val -19721"/>
              <a:gd name="adj3" fmla="val 16667"/>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T8</a:t>
            </a:r>
          </a:p>
        </xdr:txBody>
      </xdr:sp>
      <xdr:sp macro="" textlink="">
        <xdr:nvSpPr>
          <xdr:cNvPr id="32" name="Rectangle à coins arrondis 31">
            <a:extLst>
              <a:ext uri="{FF2B5EF4-FFF2-40B4-BE49-F238E27FC236}">
                <a16:creationId xmlns:a16="http://schemas.microsoft.com/office/drawing/2014/main" id="{00000000-0008-0000-0100-000020000000}"/>
              </a:ext>
            </a:extLst>
          </xdr:cNvPr>
          <xdr:cNvSpPr/>
        </xdr:nvSpPr>
        <xdr:spPr>
          <a:xfrm>
            <a:off x="6467476" y="1057274"/>
            <a:ext cx="285749" cy="171451"/>
          </a:xfrm>
          <a:prstGeom prst="wedgeRoundRectCallout">
            <a:avLst>
              <a:gd name="adj1" fmla="val -89551"/>
              <a:gd name="adj2" fmla="val -14165"/>
              <a:gd name="adj3" fmla="val 16667"/>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T10</a:t>
            </a:r>
          </a:p>
        </xdr:txBody>
      </xdr:sp>
      <xdr:sp macro="" textlink="">
        <xdr:nvSpPr>
          <xdr:cNvPr id="33" name="ZoneTexte 32">
            <a:extLst>
              <a:ext uri="{FF2B5EF4-FFF2-40B4-BE49-F238E27FC236}">
                <a16:creationId xmlns:a16="http://schemas.microsoft.com/office/drawing/2014/main" id="{00000000-0008-0000-0100-000021000000}"/>
              </a:ext>
            </a:extLst>
          </xdr:cNvPr>
          <xdr:cNvSpPr txBox="1"/>
        </xdr:nvSpPr>
        <xdr:spPr>
          <a:xfrm>
            <a:off x="3724275" y="581025"/>
            <a:ext cx="219075"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100" b="1">
                <a:solidFill>
                  <a:srgbClr val="FF0000"/>
                </a:solidFill>
              </a:rPr>
              <a:t>T</a:t>
            </a:r>
          </a:p>
        </xdr:txBody>
      </xdr:sp>
      <xdr:sp macro="" textlink="">
        <xdr:nvSpPr>
          <xdr:cNvPr id="34" name="ZoneTexte 33">
            <a:extLst>
              <a:ext uri="{FF2B5EF4-FFF2-40B4-BE49-F238E27FC236}">
                <a16:creationId xmlns:a16="http://schemas.microsoft.com/office/drawing/2014/main" id="{00000000-0008-0000-0100-000022000000}"/>
              </a:ext>
            </a:extLst>
          </xdr:cNvPr>
          <xdr:cNvSpPr txBox="1"/>
        </xdr:nvSpPr>
        <xdr:spPr>
          <a:xfrm>
            <a:off x="4133850" y="571500"/>
            <a:ext cx="219075"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100" b="1">
                <a:solidFill>
                  <a:srgbClr val="FF0000"/>
                </a:solidFill>
              </a:rPr>
              <a:t>T</a:t>
            </a:r>
          </a:p>
        </xdr:txBody>
      </xdr:sp>
      <xdr:sp macro="" textlink="">
        <xdr:nvSpPr>
          <xdr:cNvPr id="35" name="ZoneTexte 34">
            <a:extLst>
              <a:ext uri="{FF2B5EF4-FFF2-40B4-BE49-F238E27FC236}">
                <a16:creationId xmlns:a16="http://schemas.microsoft.com/office/drawing/2014/main" id="{00000000-0008-0000-0100-000023000000}"/>
              </a:ext>
            </a:extLst>
          </xdr:cNvPr>
          <xdr:cNvSpPr txBox="1"/>
        </xdr:nvSpPr>
        <xdr:spPr>
          <a:xfrm>
            <a:off x="6524625" y="552450"/>
            <a:ext cx="219075"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100" b="1">
                <a:solidFill>
                  <a:srgbClr val="FF0000"/>
                </a:solidFill>
              </a:rPr>
              <a:t>T</a:t>
            </a:r>
          </a:p>
        </xdr:txBody>
      </xdr:sp>
      <xdr:sp macro="" textlink="">
        <xdr:nvSpPr>
          <xdr:cNvPr id="36" name="ZoneTexte 35">
            <a:extLst>
              <a:ext uri="{FF2B5EF4-FFF2-40B4-BE49-F238E27FC236}">
                <a16:creationId xmlns:a16="http://schemas.microsoft.com/office/drawing/2014/main" id="{00000000-0008-0000-0100-000024000000}"/>
              </a:ext>
            </a:extLst>
          </xdr:cNvPr>
          <xdr:cNvSpPr txBox="1"/>
        </xdr:nvSpPr>
        <xdr:spPr>
          <a:xfrm>
            <a:off x="2171700" y="866775"/>
            <a:ext cx="219075"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fr-FR" sz="1100">
                <a:solidFill>
                  <a:srgbClr val="0070C0"/>
                </a:solidFill>
              </a:rPr>
              <a:t>M</a:t>
            </a:r>
          </a:p>
        </xdr:txBody>
      </xdr:sp>
      <xdr:sp macro="" textlink="">
        <xdr:nvSpPr>
          <xdr:cNvPr id="37" name="Bulle ronde 36">
            <a:extLst>
              <a:ext uri="{FF2B5EF4-FFF2-40B4-BE49-F238E27FC236}">
                <a16:creationId xmlns:a16="http://schemas.microsoft.com/office/drawing/2014/main" id="{00000000-0008-0000-0100-000025000000}"/>
              </a:ext>
            </a:extLst>
          </xdr:cNvPr>
          <xdr:cNvSpPr/>
        </xdr:nvSpPr>
        <xdr:spPr>
          <a:xfrm>
            <a:off x="1514476" y="400050"/>
            <a:ext cx="352425" cy="171450"/>
          </a:xfrm>
          <a:prstGeom prst="wedgeEllipseCallout">
            <a:avLst>
              <a:gd name="adj1" fmla="val -40833"/>
              <a:gd name="adj2" fmla="val 129166"/>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P1</a:t>
            </a:r>
          </a:p>
        </xdr:txBody>
      </xdr:sp>
      <xdr:sp macro="" textlink="">
        <xdr:nvSpPr>
          <xdr:cNvPr id="38" name="Bulle ronde 37">
            <a:extLst>
              <a:ext uri="{FF2B5EF4-FFF2-40B4-BE49-F238E27FC236}">
                <a16:creationId xmlns:a16="http://schemas.microsoft.com/office/drawing/2014/main" id="{00000000-0008-0000-0100-000026000000}"/>
              </a:ext>
            </a:extLst>
          </xdr:cNvPr>
          <xdr:cNvSpPr/>
        </xdr:nvSpPr>
        <xdr:spPr>
          <a:xfrm>
            <a:off x="1905001" y="485775"/>
            <a:ext cx="352425" cy="171450"/>
          </a:xfrm>
          <a:prstGeom prst="wedgeEllipseCallout">
            <a:avLst>
              <a:gd name="adj1" fmla="val 94302"/>
              <a:gd name="adj2" fmla="val 62499"/>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P2</a:t>
            </a:r>
          </a:p>
        </xdr:txBody>
      </xdr:sp>
      <xdr:sp macro="" textlink="">
        <xdr:nvSpPr>
          <xdr:cNvPr id="39" name="Bulle ronde 38">
            <a:extLst>
              <a:ext uri="{FF2B5EF4-FFF2-40B4-BE49-F238E27FC236}">
                <a16:creationId xmlns:a16="http://schemas.microsoft.com/office/drawing/2014/main" id="{00000000-0008-0000-0100-000027000000}"/>
              </a:ext>
            </a:extLst>
          </xdr:cNvPr>
          <xdr:cNvSpPr/>
        </xdr:nvSpPr>
        <xdr:spPr>
          <a:xfrm>
            <a:off x="1809751" y="1190625"/>
            <a:ext cx="352425" cy="171450"/>
          </a:xfrm>
          <a:prstGeom prst="wedgeEllipseCallout">
            <a:avLst>
              <a:gd name="adj1" fmla="val 67275"/>
              <a:gd name="adj2" fmla="val 51388"/>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P3</a:t>
            </a:r>
          </a:p>
        </xdr:txBody>
      </xdr:sp>
      <xdr:sp macro="" textlink="">
        <xdr:nvSpPr>
          <xdr:cNvPr id="40" name="Bulle ronde 39">
            <a:extLst>
              <a:ext uri="{FF2B5EF4-FFF2-40B4-BE49-F238E27FC236}">
                <a16:creationId xmlns:a16="http://schemas.microsoft.com/office/drawing/2014/main" id="{00000000-0008-0000-0100-000028000000}"/>
              </a:ext>
            </a:extLst>
          </xdr:cNvPr>
          <xdr:cNvSpPr/>
        </xdr:nvSpPr>
        <xdr:spPr>
          <a:xfrm>
            <a:off x="5724526" y="1314450"/>
            <a:ext cx="352425" cy="171450"/>
          </a:xfrm>
          <a:prstGeom prst="wedgeEllipseCallout">
            <a:avLst>
              <a:gd name="adj1" fmla="val 99708"/>
              <a:gd name="adj2" fmla="val 12499"/>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P10</a:t>
            </a:r>
          </a:p>
        </xdr:txBody>
      </xdr:sp>
      <xdr:sp macro="" textlink="">
        <xdr:nvSpPr>
          <xdr:cNvPr id="41" name="Bulle ronde 40">
            <a:extLst>
              <a:ext uri="{FF2B5EF4-FFF2-40B4-BE49-F238E27FC236}">
                <a16:creationId xmlns:a16="http://schemas.microsoft.com/office/drawing/2014/main" id="{00000000-0008-0000-0100-000029000000}"/>
              </a:ext>
            </a:extLst>
          </xdr:cNvPr>
          <xdr:cNvSpPr/>
        </xdr:nvSpPr>
        <xdr:spPr>
          <a:xfrm>
            <a:off x="3371851" y="409575"/>
            <a:ext cx="352425" cy="171450"/>
          </a:xfrm>
          <a:prstGeom prst="wedgeEllipseCallout">
            <a:avLst>
              <a:gd name="adj1" fmla="val -40833"/>
              <a:gd name="adj2" fmla="val 129166"/>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P4</a:t>
            </a:r>
          </a:p>
        </xdr:txBody>
      </xdr:sp>
      <xdr:sp macro="" textlink="">
        <xdr:nvSpPr>
          <xdr:cNvPr id="42" name="Bulle ronde 41">
            <a:extLst>
              <a:ext uri="{FF2B5EF4-FFF2-40B4-BE49-F238E27FC236}">
                <a16:creationId xmlns:a16="http://schemas.microsoft.com/office/drawing/2014/main" id="{00000000-0008-0000-0100-00002A000000}"/>
              </a:ext>
            </a:extLst>
          </xdr:cNvPr>
          <xdr:cNvSpPr/>
        </xdr:nvSpPr>
        <xdr:spPr>
          <a:xfrm>
            <a:off x="3981451" y="428625"/>
            <a:ext cx="352425" cy="171450"/>
          </a:xfrm>
          <a:prstGeom prst="wedgeEllipseCallout">
            <a:avLst>
              <a:gd name="adj1" fmla="val -40833"/>
              <a:gd name="adj2" fmla="val 129166"/>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P5</a:t>
            </a:r>
          </a:p>
        </xdr:txBody>
      </xdr:sp>
      <xdr:sp macro="" textlink="">
        <xdr:nvSpPr>
          <xdr:cNvPr id="43" name="Bulle ronde 42">
            <a:extLst>
              <a:ext uri="{FF2B5EF4-FFF2-40B4-BE49-F238E27FC236}">
                <a16:creationId xmlns:a16="http://schemas.microsoft.com/office/drawing/2014/main" id="{00000000-0008-0000-0100-00002B000000}"/>
              </a:ext>
            </a:extLst>
          </xdr:cNvPr>
          <xdr:cNvSpPr/>
        </xdr:nvSpPr>
        <xdr:spPr>
          <a:xfrm>
            <a:off x="4695826" y="381000"/>
            <a:ext cx="352425" cy="171450"/>
          </a:xfrm>
          <a:prstGeom prst="wedgeEllipseCallout">
            <a:avLst>
              <a:gd name="adj1" fmla="val -40833"/>
              <a:gd name="adj2" fmla="val 129166"/>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P6</a:t>
            </a:r>
          </a:p>
        </xdr:txBody>
      </xdr:sp>
      <xdr:sp macro="" textlink="">
        <xdr:nvSpPr>
          <xdr:cNvPr id="44" name="Bulle ronde 43">
            <a:extLst>
              <a:ext uri="{FF2B5EF4-FFF2-40B4-BE49-F238E27FC236}">
                <a16:creationId xmlns:a16="http://schemas.microsoft.com/office/drawing/2014/main" id="{00000000-0008-0000-0100-00002C000000}"/>
              </a:ext>
            </a:extLst>
          </xdr:cNvPr>
          <xdr:cNvSpPr/>
        </xdr:nvSpPr>
        <xdr:spPr>
          <a:xfrm>
            <a:off x="5248276" y="419100"/>
            <a:ext cx="352425" cy="171450"/>
          </a:xfrm>
          <a:prstGeom prst="wedgeEllipseCallout">
            <a:avLst>
              <a:gd name="adj1" fmla="val -5698"/>
              <a:gd name="adj2" fmla="val 123610"/>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P7</a:t>
            </a:r>
          </a:p>
        </xdr:txBody>
      </xdr:sp>
      <xdr:sp macro="" textlink="">
        <xdr:nvSpPr>
          <xdr:cNvPr id="45" name="Bulle ronde 44">
            <a:extLst>
              <a:ext uri="{FF2B5EF4-FFF2-40B4-BE49-F238E27FC236}">
                <a16:creationId xmlns:a16="http://schemas.microsoft.com/office/drawing/2014/main" id="{00000000-0008-0000-0100-00002D000000}"/>
              </a:ext>
            </a:extLst>
          </xdr:cNvPr>
          <xdr:cNvSpPr/>
        </xdr:nvSpPr>
        <xdr:spPr>
          <a:xfrm>
            <a:off x="4524376" y="1228725"/>
            <a:ext cx="352425" cy="171450"/>
          </a:xfrm>
          <a:prstGeom prst="wedgeEllipseCallout">
            <a:avLst>
              <a:gd name="adj1" fmla="val 80789"/>
              <a:gd name="adj2" fmla="val 18055"/>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P8</a:t>
            </a:r>
          </a:p>
        </xdr:txBody>
      </xdr:sp>
      <xdr:sp macro="" textlink="">
        <xdr:nvSpPr>
          <xdr:cNvPr id="46" name="Bulle ronde 45">
            <a:extLst>
              <a:ext uri="{FF2B5EF4-FFF2-40B4-BE49-F238E27FC236}">
                <a16:creationId xmlns:a16="http://schemas.microsoft.com/office/drawing/2014/main" id="{00000000-0008-0000-0100-00002E000000}"/>
              </a:ext>
            </a:extLst>
          </xdr:cNvPr>
          <xdr:cNvSpPr/>
        </xdr:nvSpPr>
        <xdr:spPr>
          <a:xfrm>
            <a:off x="6391276" y="381000"/>
            <a:ext cx="352425" cy="171450"/>
          </a:xfrm>
          <a:prstGeom prst="wedgeEllipseCallout">
            <a:avLst>
              <a:gd name="adj1" fmla="val -40833"/>
              <a:gd name="adj2" fmla="val 129166"/>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a:solidFill>
                  <a:srgbClr val="FF0000"/>
                </a:solidFill>
              </a:rPr>
              <a:t>P9</a:t>
            </a:r>
          </a:p>
        </xdr:txBody>
      </xdr:sp>
      <xdr:sp macro="" textlink="">
        <xdr:nvSpPr>
          <xdr:cNvPr id="47" name="Rectangle à coins arrondis 46">
            <a:extLst>
              <a:ext uri="{FF2B5EF4-FFF2-40B4-BE49-F238E27FC236}">
                <a16:creationId xmlns:a16="http://schemas.microsoft.com/office/drawing/2014/main" id="{00000000-0008-0000-0100-00002F000000}"/>
              </a:ext>
            </a:extLst>
          </xdr:cNvPr>
          <xdr:cNvSpPr/>
        </xdr:nvSpPr>
        <xdr:spPr>
          <a:xfrm>
            <a:off x="1238250" y="1562099"/>
            <a:ext cx="4752975" cy="247651"/>
          </a:xfrm>
          <a:prstGeom prst="roundRect">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lIns="0" tIns="0" rIns="0" bIns="0" rtlCol="0" anchor="ctr"/>
          <a:lstStyle/>
          <a:p>
            <a:pPr algn="ctr"/>
            <a:r>
              <a:rPr lang="fr-FR" sz="1100" b="1">
                <a:solidFill>
                  <a:srgbClr val="0070C0"/>
                </a:solidFill>
              </a:rPr>
              <a:t>Dans cet exemple, on suppose que le réseau est sans contrainte et N et N-2</a:t>
            </a:r>
          </a:p>
        </xdr:txBody>
      </xdr:sp>
    </xdr:grp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9C736-5456-4C45-95EB-183F31782B28}">
  <dimension ref="A1:V41"/>
  <sheetViews>
    <sheetView tabSelected="1" workbookViewId="0">
      <selection activeCell="M3" sqref="M3"/>
    </sheetView>
  </sheetViews>
  <sheetFormatPr defaultColWidth="11.5703125" defaultRowHeight="15" x14ac:dyDescent="0.25"/>
  <cols>
    <col min="1" max="1" width="5.7109375" customWidth="1"/>
    <col min="2" max="2" width="5" customWidth="1"/>
    <col min="3" max="3" width="9.7109375" customWidth="1"/>
    <col min="4" max="4" width="14.28515625" customWidth="1"/>
    <col min="5" max="5" width="11.28515625" style="37" customWidth="1"/>
    <col min="6" max="6" width="13.140625" customWidth="1"/>
    <col min="7" max="7" width="12.7109375" customWidth="1"/>
    <col min="8" max="8" width="7.7109375" customWidth="1"/>
    <col min="9" max="9" width="12.28515625" customWidth="1"/>
    <col min="10" max="10" width="7.7109375" customWidth="1"/>
    <col min="11" max="11" width="1" customWidth="1"/>
    <col min="12" max="12" width="5.140625" customWidth="1"/>
    <col min="13" max="13" width="7.7109375" customWidth="1"/>
    <col min="14" max="14" width="19.5703125" customWidth="1"/>
    <col min="15" max="15" width="11.7109375" customWidth="1"/>
    <col min="16" max="16" width="7.7109375" customWidth="1"/>
    <col min="17" max="17" width="15.5703125" customWidth="1"/>
    <col min="18" max="18" width="13.42578125" customWidth="1"/>
    <col min="19" max="19" width="7.7109375" customWidth="1"/>
    <col min="20" max="20" width="12.28515625" customWidth="1"/>
    <col min="21" max="22" width="7.7109375" customWidth="1"/>
  </cols>
  <sheetData>
    <row r="1" spans="1:22" x14ac:dyDescent="0.25">
      <c r="A1" s="64" t="s">
        <v>24</v>
      </c>
      <c r="B1" s="64"/>
      <c r="C1" s="64"/>
      <c r="D1" s="64"/>
      <c r="E1" s="64"/>
    </row>
    <row r="2" spans="1:22" x14ac:dyDescent="0.25">
      <c r="A2" s="45" t="s">
        <v>76</v>
      </c>
      <c r="B2" s="46"/>
      <c r="C2" s="46"/>
      <c r="D2" s="46"/>
      <c r="E2" s="33">
        <v>5.5</v>
      </c>
      <c r="I2" s="45" t="s">
        <v>52</v>
      </c>
      <c r="J2" s="46"/>
      <c r="K2" s="46"/>
      <c r="L2" s="46"/>
      <c r="M2" s="33">
        <v>5.5</v>
      </c>
    </row>
    <row r="3" spans="1:22" ht="15" customHeight="1" x14ac:dyDescent="0.25">
      <c r="A3" s="65" t="s">
        <v>53</v>
      </c>
      <c r="B3" s="66"/>
      <c r="C3" s="66"/>
      <c r="D3" s="66"/>
      <c r="E3" s="33">
        <v>0.6</v>
      </c>
      <c r="I3" s="93" t="s">
        <v>59</v>
      </c>
      <c r="J3" s="94"/>
      <c r="K3" s="94"/>
      <c r="L3" s="94"/>
      <c r="M3" s="95">
        <v>7</v>
      </c>
    </row>
    <row r="4" spans="1:22" ht="30" customHeight="1" x14ac:dyDescent="0.25">
      <c r="A4" s="67" t="s">
        <v>54</v>
      </c>
      <c r="B4" s="68"/>
      <c r="C4" s="68"/>
      <c r="D4" s="68"/>
      <c r="E4" s="21">
        <v>5</v>
      </c>
    </row>
    <row r="5" spans="1:22" ht="30" customHeight="1" x14ac:dyDescent="0.25">
      <c r="A5" s="67" t="s">
        <v>55</v>
      </c>
      <c r="B5" s="68"/>
      <c r="C5" s="68"/>
      <c r="D5" s="68"/>
      <c r="E5" s="21">
        <v>55</v>
      </c>
    </row>
    <row r="6" spans="1:22" x14ac:dyDescent="0.25">
      <c r="A6" s="93" t="s">
        <v>59</v>
      </c>
      <c r="B6" s="94"/>
      <c r="C6" s="94"/>
      <c r="D6" s="94"/>
      <c r="E6" s="95">
        <v>9</v>
      </c>
    </row>
    <row r="8" spans="1:22" ht="15" customHeight="1" x14ac:dyDescent="0.25">
      <c r="A8" s="73" t="s">
        <v>41</v>
      </c>
      <c r="B8" s="73" t="s">
        <v>42</v>
      </c>
      <c r="C8" s="73" t="s">
        <v>43</v>
      </c>
      <c r="D8" s="79" t="s">
        <v>27</v>
      </c>
      <c r="E8" s="79"/>
      <c r="F8" s="79"/>
      <c r="G8" s="79" t="s">
        <v>26</v>
      </c>
      <c r="H8" s="79"/>
      <c r="I8" s="79"/>
      <c r="J8" s="79"/>
      <c r="L8" s="61" t="s">
        <v>50</v>
      </c>
      <c r="M8" s="61" t="s">
        <v>51</v>
      </c>
      <c r="N8" s="61" t="s">
        <v>43</v>
      </c>
      <c r="O8" s="72" t="s">
        <v>27</v>
      </c>
      <c r="P8" s="72"/>
      <c r="Q8" s="72"/>
      <c r="R8" s="72" t="s">
        <v>26</v>
      </c>
      <c r="S8" s="72"/>
      <c r="T8" s="72"/>
      <c r="U8" s="72"/>
      <c r="V8" s="72" t="s">
        <v>32</v>
      </c>
    </row>
    <row r="9" spans="1:22" ht="15" customHeight="1" x14ac:dyDescent="0.25">
      <c r="A9" s="78"/>
      <c r="B9" s="78"/>
      <c r="C9" s="78"/>
      <c r="D9" s="73" t="s">
        <v>46</v>
      </c>
      <c r="E9" s="75" t="s">
        <v>47</v>
      </c>
      <c r="F9" s="76"/>
      <c r="G9" s="73" t="s">
        <v>49</v>
      </c>
      <c r="H9" s="75" t="s">
        <v>48</v>
      </c>
      <c r="I9" s="76"/>
      <c r="J9" s="77" t="s">
        <v>12</v>
      </c>
      <c r="L9" s="62"/>
      <c r="M9" s="62"/>
      <c r="N9" s="62"/>
      <c r="O9" s="73" t="s">
        <v>46</v>
      </c>
      <c r="P9" s="75" t="s">
        <v>47</v>
      </c>
      <c r="Q9" s="76"/>
      <c r="R9" s="73" t="s">
        <v>49</v>
      </c>
      <c r="S9" s="75" t="s">
        <v>48</v>
      </c>
      <c r="T9" s="76"/>
      <c r="U9" s="80" t="s">
        <v>12</v>
      </c>
      <c r="V9" s="72"/>
    </row>
    <row r="10" spans="1:22" x14ac:dyDescent="0.25">
      <c r="A10" s="74"/>
      <c r="B10" s="74"/>
      <c r="C10" s="74"/>
      <c r="D10" s="74"/>
      <c r="E10" s="38" t="s">
        <v>44</v>
      </c>
      <c r="F10" s="38" t="s">
        <v>45</v>
      </c>
      <c r="G10" s="74"/>
      <c r="H10" s="38" t="s">
        <v>44</v>
      </c>
      <c r="I10" s="38" t="s">
        <v>45</v>
      </c>
      <c r="J10" s="74"/>
      <c r="L10" s="63"/>
      <c r="M10" s="63"/>
      <c r="N10" s="63"/>
      <c r="O10" s="74"/>
      <c r="P10" s="38" t="s">
        <v>44</v>
      </c>
      <c r="Q10" s="38" t="s">
        <v>45</v>
      </c>
      <c r="R10" s="74"/>
      <c r="S10" s="38" t="s">
        <v>44</v>
      </c>
      <c r="T10" s="38" t="s">
        <v>45</v>
      </c>
      <c r="U10" s="63"/>
      <c r="V10" s="72"/>
    </row>
    <row r="11" spans="1:22" x14ac:dyDescent="0.25">
      <c r="A11" s="35" t="s">
        <v>14</v>
      </c>
      <c r="B11" s="23">
        <v>0</v>
      </c>
      <c r="C11" s="23">
        <f>1*$E$3/100</f>
        <v>6.0000000000000001E-3</v>
      </c>
      <c r="D11" s="35">
        <f>$B$22</f>
        <v>3</v>
      </c>
      <c r="E11" s="34">
        <v>2</v>
      </c>
      <c r="F11" s="34">
        <v>2</v>
      </c>
      <c r="G11" s="39">
        <f t="shared" ref="G11:G14" si="0">D11*$E$4*$C11</f>
        <v>0.09</v>
      </c>
      <c r="H11" s="39">
        <f>E11*$E$5*$C11</f>
        <v>0.66</v>
      </c>
      <c r="I11" s="39">
        <f>F11*($M$3*60)*$C11</f>
        <v>5.04</v>
      </c>
      <c r="J11" s="39">
        <f>G11+H11+I11</f>
        <v>5.79</v>
      </c>
      <c r="L11" s="42" t="s">
        <v>1</v>
      </c>
      <c r="M11" s="48">
        <v>0.86899999999999999</v>
      </c>
      <c r="N11" s="8">
        <f>M11*$M$2/100</f>
        <v>4.7794999999999997E-2</v>
      </c>
      <c r="O11" s="9">
        <f t="shared" ref="O11:O14" si="1">$B$22</f>
        <v>3</v>
      </c>
      <c r="P11" s="15">
        <v>2</v>
      </c>
      <c r="Q11" s="41">
        <v>0</v>
      </c>
      <c r="R11" s="7">
        <f>O11*$E$4*$N11</f>
        <v>0.71692499999999992</v>
      </c>
      <c r="S11" s="7">
        <f>P11*$E$5*$N11</f>
        <v>5.2574499999999995</v>
      </c>
      <c r="T11" s="7">
        <f>Q11*($E$6*60)*$N11</f>
        <v>0</v>
      </c>
      <c r="U11" s="7">
        <f>R11+S11+T11</f>
        <v>5.9743749999999993</v>
      </c>
      <c r="V11" s="7">
        <f>J11+U11</f>
        <v>11.764374999999999</v>
      </c>
    </row>
    <row r="12" spans="1:22" x14ac:dyDescent="0.25">
      <c r="A12" s="35" t="s">
        <v>15</v>
      </c>
      <c r="B12" s="23">
        <v>1</v>
      </c>
      <c r="C12" s="23">
        <f t="shared" ref="C12:C14" si="2">1*$E$3/100</f>
        <v>6.0000000000000001E-3</v>
      </c>
      <c r="D12" s="35">
        <f t="shared" ref="D12" si="3">$B$22</f>
        <v>3</v>
      </c>
      <c r="E12" s="34">
        <v>2</v>
      </c>
      <c r="F12" s="34">
        <v>1</v>
      </c>
      <c r="G12" s="39">
        <f t="shared" si="0"/>
        <v>0.09</v>
      </c>
      <c r="H12" s="39">
        <f t="shared" ref="H12:H14" si="4">E12*$E$5*$C12</f>
        <v>0.66</v>
      </c>
      <c r="I12" s="39">
        <f>F12*($M$3*60)*$C12</f>
        <v>2.52</v>
      </c>
      <c r="J12" s="39">
        <f t="shared" ref="J12:J14" si="5">G12+H12+I12</f>
        <v>3.27</v>
      </c>
      <c r="L12" s="42" t="s">
        <v>2</v>
      </c>
      <c r="M12" s="48">
        <v>4.7E-2</v>
      </c>
      <c r="N12" s="8">
        <f>M12*$E$2/100</f>
        <v>2.5850000000000001E-3</v>
      </c>
      <c r="O12" s="9">
        <f t="shared" si="1"/>
        <v>3</v>
      </c>
      <c r="P12" s="15">
        <v>2</v>
      </c>
      <c r="Q12" s="41">
        <v>1</v>
      </c>
      <c r="R12" s="7">
        <f t="shared" ref="R12:R15" si="6">O12*$E$4*$N12</f>
        <v>3.8775000000000004E-2</v>
      </c>
      <c r="S12" s="7">
        <f t="shared" ref="S12:S15" si="7">P12*$E$5*$N12</f>
        <v>0.28434999999999999</v>
      </c>
      <c r="T12" s="7">
        <f t="shared" ref="T12:T15" si="8">Q12*($E$6*60)*$N12</f>
        <v>1.3959000000000001</v>
      </c>
      <c r="U12" s="7">
        <f t="shared" ref="U12:U15" si="9">R12+S12+T12</f>
        <v>1.7190250000000002</v>
      </c>
      <c r="V12" s="7">
        <f t="shared" ref="V12:V15" si="10">J12+U12</f>
        <v>4.9890249999999998</v>
      </c>
    </row>
    <row r="13" spans="1:22" x14ac:dyDescent="0.25">
      <c r="A13" s="35" t="s">
        <v>16</v>
      </c>
      <c r="B13" s="23">
        <v>1</v>
      </c>
      <c r="C13" s="23">
        <f t="shared" si="2"/>
        <v>6.0000000000000001E-3</v>
      </c>
      <c r="D13" s="35">
        <v>3</v>
      </c>
      <c r="E13" s="34">
        <v>2</v>
      </c>
      <c r="F13" s="34">
        <v>1</v>
      </c>
      <c r="G13" s="39">
        <f t="shared" si="0"/>
        <v>0.09</v>
      </c>
      <c r="H13" s="39">
        <f t="shared" si="4"/>
        <v>0.66</v>
      </c>
      <c r="I13" s="39">
        <f>F13*($M$3*60)*$C13</f>
        <v>2.52</v>
      </c>
      <c r="J13" s="39">
        <f t="shared" si="5"/>
        <v>3.27</v>
      </c>
      <c r="L13" s="42" t="s">
        <v>3</v>
      </c>
      <c r="M13" s="48">
        <v>0.11600000000000001</v>
      </c>
      <c r="N13" s="8">
        <f t="shared" ref="N13:N15" si="11">M13*$E$2/100</f>
        <v>6.3800000000000003E-3</v>
      </c>
      <c r="O13" s="9">
        <f t="shared" si="1"/>
        <v>3</v>
      </c>
      <c r="P13" s="15">
        <v>2</v>
      </c>
      <c r="Q13" s="41">
        <v>1</v>
      </c>
      <c r="R13" s="7">
        <f t="shared" si="6"/>
        <v>9.5700000000000007E-2</v>
      </c>
      <c r="S13" s="7">
        <f t="shared" si="7"/>
        <v>0.70179999999999998</v>
      </c>
      <c r="T13" s="7">
        <f t="shared" si="8"/>
        <v>3.4452000000000003</v>
      </c>
      <c r="U13" s="7">
        <f t="shared" si="9"/>
        <v>4.2427000000000001</v>
      </c>
      <c r="V13" s="7">
        <f t="shared" si="10"/>
        <v>7.5127000000000006</v>
      </c>
    </row>
    <row r="14" spans="1:22" x14ac:dyDescent="0.25">
      <c r="A14" s="49" t="s">
        <v>17</v>
      </c>
      <c r="B14" s="23">
        <v>1</v>
      </c>
      <c r="C14" s="23">
        <f t="shared" si="2"/>
        <v>6.0000000000000001E-3</v>
      </c>
      <c r="D14" s="35">
        <v>1</v>
      </c>
      <c r="E14" s="34">
        <v>1</v>
      </c>
      <c r="F14" s="34">
        <v>1</v>
      </c>
      <c r="G14" s="39">
        <f t="shared" si="0"/>
        <v>0.03</v>
      </c>
      <c r="H14" s="39">
        <f t="shared" si="4"/>
        <v>0.33</v>
      </c>
      <c r="I14" s="39">
        <f>F14*($M$3*60)*$C14</f>
        <v>2.52</v>
      </c>
      <c r="J14" s="39">
        <f t="shared" si="5"/>
        <v>2.88</v>
      </c>
      <c r="L14" s="42" t="s">
        <v>4</v>
      </c>
      <c r="M14" s="48">
        <v>0.14199999999999999</v>
      </c>
      <c r="N14" s="8">
        <f t="shared" si="11"/>
        <v>7.8099999999999992E-3</v>
      </c>
      <c r="O14" s="9">
        <f t="shared" si="1"/>
        <v>3</v>
      </c>
      <c r="P14" s="15">
        <v>0</v>
      </c>
      <c r="Q14" s="41">
        <v>0</v>
      </c>
      <c r="R14" s="7">
        <f t="shared" si="6"/>
        <v>0.11714999999999999</v>
      </c>
      <c r="S14" s="7">
        <f t="shared" si="7"/>
        <v>0</v>
      </c>
      <c r="T14" s="7">
        <f t="shared" si="8"/>
        <v>0</v>
      </c>
      <c r="U14" s="7">
        <f t="shared" si="9"/>
        <v>0.11714999999999999</v>
      </c>
      <c r="V14" s="7">
        <f t="shared" si="10"/>
        <v>2.99715</v>
      </c>
    </row>
    <row r="15" spans="1:22" x14ac:dyDescent="0.25">
      <c r="A15" s="49" t="s">
        <v>18</v>
      </c>
      <c r="B15" s="23"/>
      <c r="C15" s="23"/>
      <c r="D15" s="35"/>
      <c r="E15" s="34"/>
      <c r="F15" s="34"/>
      <c r="G15" s="39"/>
      <c r="H15" s="39"/>
      <c r="I15" s="39"/>
      <c r="J15" s="39"/>
      <c r="L15" s="42" t="s">
        <v>5</v>
      </c>
      <c r="M15" s="48">
        <v>0.27500000000000002</v>
      </c>
      <c r="N15" s="8">
        <f t="shared" si="11"/>
        <v>1.5125000000000001E-2</v>
      </c>
      <c r="O15" s="9">
        <v>3</v>
      </c>
      <c r="P15" s="15">
        <v>0</v>
      </c>
      <c r="Q15" s="41">
        <v>0</v>
      </c>
      <c r="R15" s="7">
        <f t="shared" si="6"/>
        <v>0.22687500000000002</v>
      </c>
      <c r="S15" s="7">
        <f t="shared" si="7"/>
        <v>0</v>
      </c>
      <c r="T15" s="7">
        <f t="shared" si="8"/>
        <v>0</v>
      </c>
      <c r="U15" s="7">
        <f t="shared" si="9"/>
        <v>0.22687500000000002</v>
      </c>
      <c r="V15" s="7">
        <f t="shared" si="10"/>
        <v>0.22687500000000002</v>
      </c>
    </row>
    <row r="16" spans="1:22" x14ac:dyDescent="0.25">
      <c r="A16" s="35" t="s">
        <v>19</v>
      </c>
      <c r="B16" s="23"/>
      <c r="C16" s="23"/>
      <c r="D16" s="35"/>
      <c r="E16" s="34"/>
      <c r="F16" s="34"/>
      <c r="G16" s="39"/>
      <c r="H16" s="39"/>
      <c r="I16" s="39"/>
      <c r="J16" s="39"/>
      <c r="L16" s="42" t="s">
        <v>6</v>
      </c>
      <c r="M16" s="48"/>
      <c r="N16" s="8"/>
      <c r="O16" s="9"/>
      <c r="P16" s="15"/>
      <c r="Q16" s="41"/>
      <c r="R16" s="7"/>
      <c r="S16" s="7"/>
      <c r="T16" s="7"/>
      <c r="U16" s="7"/>
      <c r="V16" s="7"/>
    </row>
    <row r="17" spans="1:22" x14ac:dyDescent="0.25">
      <c r="A17" s="49" t="s">
        <v>20</v>
      </c>
      <c r="B17" s="23"/>
      <c r="C17" s="23"/>
      <c r="D17" s="35"/>
      <c r="E17" s="34"/>
      <c r="F17" s="34"/>
      <c r="G17" s="39"/>
      <c r="H17" s="39"/>
      <c r="I17" s="39"/>
      <c r="J17" s="39"/>
      <c r="L17" s="42" t="s">
        <v>7</v>
      </c>
      <c r="M17" s="48"/>
      <c r="N17" s="8"/>
      <c r="O17" s="9"/>
      <c r="P17" s="15"/>
      <c r="Q17" s="41"/>
      <c r="R17" s="7"/>
      <c r="S17" s="7"/>
      <c r="T17" s="7"/>
      <c r="U17" s="7"/>
      <c r="V17" s="7"/>
    </row>
    <row r="18" spans="1:22" x14ac:dyDescent="0.25">
      <c r="A18" s="35" t="s">
        <v>21</v>
      </c>
      <c r="B18" s="23"/>
      <c r="C18" s="23"/>
      <c r="D18" s="35"/>
      <c r="E18" s="34"/>
      <c r="F18" s="34"/>
      <c r="G18" s="39"/>
      <c r="H18" s="39"/>
      <c r="I18" s="39"/>
      <c r="J18" s="39"/>
      <c r="L18" s="42" t="s">
        <v>8</v>
      </c>
      <c r="M18" s="48"/>
      <c r="N18" s="8"/>
      <c r="O18" s="9"/>
      <c r="P18" s="15"/>
      <c r="Q18" s="41"/>
      <c r="R18" s="7"/>
      <c r="S18" s="7"/>
      <c r="T18" s="7"/>
      <c r="U18" s="7"/>
      <c r="V18" s="7"/>
    </row>
    <row r="19" spans="1:22" x14ac:dyDescent="0.25">
      <c r="A19" s="35" t="s">
        <v>22</v>
      </c>
      <c r="B19" s="23"/>
      <c r="C19" s="23"/>
      <c r="D19" s="35"/>
      <c r="E19" s="34"/>
      <c r="F19" s="34"/>
      <c r="G19" s="39"/>
      <c r="H19" s="39"/>
      <c r="I19" s="39"/>
      <c r="J19" s="39"/>
      <c r="L19" s="42" t="s">
        <v>9</v>
      </c>
      <c r="M19" s="48"/>
      <c r="N19" s="8"/>
      <c r="O19" s="9"/>
      <c r="P19" s="15"/>
      <c r="Q19" s="41"/>
      <c r="R19" s="7"/>
      <c r="S19" s="7"/>
      <c r="T19" s="7"/>
      <c r="U19" s="7"/>
      <c r="V19" s="7"/>
    </row>
    <row r="20" spans="1:22" x14ac:dyDescent="0.25">
      <c r="A20" s="35" t="s">
        <v>23</v>
      </c>
      <c r="B20" s="23"/>
      <c r="C20" s="23"/>
      <c r="D20" s="35"/>
      <c r="E20" s="34"/>
      <c r="F20" s="34"/>
      <c r="G20" s="39"/>
      <c r="H20" s="39"/>
      <c r="I20" s="39"/>
      <c r="J20" s="39"/>
      <c r="L20" s="42" t="s">
        <v>10</v>
      </c>
      <c r="M20" s="48"/>
      <c r="N20" s="8"/>
      <c r="O20" s="9"/>
      <c r="P20" s="15"/>
      <c r="Q20" s="41"/>
      <c r="R20" s="7"/>
      <c r="S20" s="7"/>
      <c r="T20" s="7"/>
      <c r="U20" s="7"/>
      <c r="V20" s="7"/>
    </row>
    <row r="21" spans="1:22" x14ac:dyDescent="0.25">
      <c r="A21" s="49" t="s">
        <v>77</v>
      </c>
      <c r="B21" s="23"/>
      <c r="C21" s="23"/>
      <c r="D21" s="35"/>
      <c r="E21" s="34"/>
      <c r="F21" s="34"/>
      <c r="G21" s="39"/>
      <c r="H21" s="39"/>
      <c r="I21" s="39"/>
      <c r="J21" s="39"/>
      <c r="L21" s="42" t="s">
        <v>78</v>
      </c>
      <c r="M21" s="48"/>
      <c r="N21" s="8"/>
      <c r="O21" s="9"/>
      <c r="P21" s="15"/>
      <c r="Q21" s="41"/>
      <c r="R21" s="7"/>
      <c r="S21" s="7"/>
      <c r="T21" s="7"/>
      <c r="U21" s="7"/>
      <c r="V21" s="7"/>
    </row>
    <row r="22" spans="1:22" x14ac:dyDescent="0.25">
      <c r="A22" s="24" t="s">
        <v>12</v>
      </c>
      <c r="B22" s="24">
        <f>SUM(B11:B20)</f>
        <v>3</v>
      </c>
      <c r="C22" s="24">
        <f>SUM(C11:C20)</f>
        <v>2.4E-2</v>
      </c>
      <c r="D22" s="24"/>
      <c r="E22" s="35"/>
      <c r="F22" s="35"/>
      <c r="G22" s="40">
        <f>SUM(G11:G21)</f>
        <v>0.30000000000000004</v>
      </c>
      <c r="H22" s="40">
        <f t="shared" ref="H22:J22" si="12">SUM(H11:H21)</f>
        <v>2.31</v>
      </c>
      <c r="I22" s="40">
        <f t="shared" si="12"/>
        <v>12.6</v>
      </c>
      <c r="J22" s="40">
        <f t="shared" si="12"/>
        <v>15.21</v>
      </c>
      <c r="L22" s="10" t="s">
        <v>12</v>
      </c>
      <c r="M22" s="47">
        <f>SUM(M11:M21)</f>
        <v>1.4489999999999998</v>
      </c>
      <c r="N22" s="12">
        <f>SUM(N11:N20)</f>
        <v>7.9694999999999988E-2</v>
      </c>
      <c r="O22" s="12"/>
      <c r="P22" s="12"/>
      <c r="Q22" s="12"/>
      <c r="R22" s="11">
        <f>SUM(R11:R21)</f>
        <v>1.195425</v>
      </c>
      <c r="S22" s="11">
        <f>SUM(S11:S21)</f>
        <v>6.2435999999999989</v>
      </c>
      <c r="T22" s="11">
        <f>SUM(T11:T21)</f>
        <v>4.8411000000000008</v>
      </c>
      <c r="U22" s="11">
        <f>SUM(U11:U21)</f>
        <v>12.280125</v>
      </c>
      <c r="V22" s="11">
        <f>SUM(V11:V21)</f>
        <v>27.490125000000003</v>
      </c>
    </row>
    <row r="24" spans="1:22" x14ac:dyDescent="0.25">
      <c r="A24" s="43" t="s">
        <v>56</v>
      </c>
      <c r="B24" s="1"/>
      <c r="C24" s="1"/>
      <c r="D24" s="1"/>
      <c r="E24" s="36">
        <f>V22/B22</f>
        <v>9.1633750000000003</v>
      </c>
      <c r="F24" s="1" t="s">
        <v>33</v>
      </c>
    </row>
    <row r="26" spans="1:22" ht="30" customHeight="1" x14ac:dyDescent="0.25">
      <c r="A26" s="69" t="s">
        <v>40</v>
      </c>
      <c r="B26" s="70"/>
      <c r="C26" s="70"/>
      <c r="D26" s="70"/>
      <c r="E26" s="70"/>
      <c r="F26" s="70"/>
      <c r="G26" s="70"/>
      <c r="H26" s="70"/>
      <c r="I26" s="70"/>
      <c r="J26" s="70"/>
      <c r="K26" s="70"/>
      <c r="L26" s="70"/>
      <c r="M26" s="70"/>
      <c r="N26" s="70"/>
      <c r="O26" s="70"/>
      <c r="P26" s="70"/>
      <c r="Q26" s="70"/>
      <c r="R26" s="70"/>
      <c r="S26" s="70"/>
      <c r="T26" s="70"/>
      <c r="U26" s="70"/>
      <c r="V26" s="71"/>
    </row>
    <row r="28" spans="1:22" x14ac:dyDescent="0.25">
      <c r="A28" s="44" t="s">
        <v>69</v>
      </c>
      <c r="D28" s="44"/>
    </row>
    <row r="31" spans="1:22" x14ac:dyDescent="0.25">
      <c r="A31" s="44" t="s">
        <v>70</v>
      </c>
    </row>
    <row r="32" spans="1:22" x14ac:dyDescent="0.25">
      <c r="A32" s="44" t="s">
        <v>57</v>
      </c>
    </row>
    <row r="33" spans="1:1" x14ac:dyDescent="0.25">
      <c r="A33" s="44" t="s">
        <v>60</v>
      </c>
    </row>
    <row r="34" spans="1:1" x14ac:dyDescent="0.25">
      <c r="A34" s="44" t="s">
        <v>61</v>
      </c>
    </row>
    <row r="35" spans="1:1" x14ac:dyDescent="0.25">
      <c r="A35" s="44" t="s">
        <v>58</v>
      </c>
    </row>
    <row r="37" spans="1:1" x14ac:dyDescent="0.25">
      <c r="A37" s="44" t="s">
        <v>62</v>
      </c>
    </row>
    <row r="38" spans="1:1" x14ac:dyDescent="0.25">
      <c r="A38" s="44" t="s">
        <v>63</v>
      </c>
    </row>
    <row r="39" spans="1:1" x14ac:dyDescent="0.25">
      <c r="A39" s="44" t="s">
        <v>60</v>
      </c>
    </row>
    <row r="40" spans="1:1" x14ac:dyDescent="0.25">
      <c r="A40" s="44" t="s">
        <v>61</v>
      </c>
    </row>
    <row r="41" spans="1:1" x14ac:dyDescent="0.25">
      <c r="A41" s="44" t="s">
        <v>64</v>
      </c>
    </row>
  </sheetData>
  <mergeCells count="28">
    <mergeCell ref="O9:O10"/>
    <mergeCell ref="P9:Q9"/>
    <mergeCell ref="R9:R10"/>
    <mergeCell ref="S9:T9"/>
    <mergeCell ref="U9:U10"/>
    <mergeCell ref="A26:V26"/>
    <mergeCell ref="M8:M10"/>
    <mergeCell ref="N8:N10"/>
    <mergeCell ref="O8:Q8"/>
    <mergeCell ref="R8:U8"/>
    <mergeCell ref="V8:V10"/>
    <mergeCell ref="D9:D10"/>
    <mergeCell ref="E9:F9"/>
    <mergeCell ref="G9:G10"/>
    <mergeCell ref="H9:I9"/>
    <mergeCell ref="J9:J10"/>
    <mergeCell ref="A8:A10"/>
    <mergeCell ref="B8:B10"/>
    <mergeCell ref="C8:C10"/>
    <mergeCell ref="D8:F8"/>
    <mergeCell ref="G8:J8"/>
    <mergeCell ref="L8:L10"/>
    <mergeCell ref="A1:E1"/>
    <mergeCell ref="A3:D3"/>
    <mergeCell ref="I3:L3"/>
    <mergeCell ref="A4:D4"/>
    <mergeCell ref="A5:D5"/>
    <mergeCell ref="A6:D6"/>
  </mergeCells>
  <phoneticPr fontId="8"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E73C6-A615-48EF-A933-4DD7359F37D3}">
  <dimension ref="A1:V44"/>
  <sheetViews>
    <sheetView workbookViewId="0">
      <selection activeCell="H32" sqref="H32"/>
    </sheetView>
  </sheetViews>
  <sheetFormatPr defaultColWidth="11.5703125" defaultRowHeight="15" x14ac:dyDescent="0.25"/>
  <cols>
    <col min="1" max="1" width="5.7109375" customWidth="1"/>
    <col min="2" max="2" width="5" customWidth="1"/>
    <col min="3" max="3" width="9.7109375" customWidth="1"/>
    <col min="4" max="4" width="14.28515625" customWidth="1"/>
    <col min="5" max="5" width="11.28515625" style="37" customWidth="1"/>
    <col min="6" max="6" width="13.140625" customWidth="1"/>
    <col min="7" max="7" width="12.7109375" customWidth="1"/>
    <col min="8" max="8" width="7.7109375" customWidth="1"/>
    <col min="9" max="9" width="12.28515625" customWidth="1"/>
    <col min="10" max="10" width="7.7109375" customWidth="1"/>
    <col min="11" max="11" width="1" customWidth="1"/>
    <col min="12" max="12" width="5.140625" customWidth="1"/>
    <col min="13" max="13" width="7.7109375" customWidth="1"/>
    <col min="14" max="14" width="19.5703125" customWidth="1"/>
    <col min="15" max="15" width="11.7109375" customWidth="1"/>
    <col min="16" max="16" width="7.7109375" customWidth="1"/>
    <col min="17" max="17" width="15.5703125" customWidth="1"/>
    <col min="18" max="18" width="13.42578125" customWidth="1"/>
    <col min="19" max="19" width="7.7109375" customWidth="1"/>
    <col min="20" max="20" width="12.28515625" customWidth="1"/>
    <col min="21" max="22" width="7.7109375" customWidth="1"/>
  </cols>
  <sheetData>
    <row r="1" spans="1:22" x14ac:dyDescent="0.25">
      <c r="A1" s="64" t="s">
        <v>24</v>
      </c>
      <c r="B1" s="64"/>
      <c r="C1" s="64"/>
      <c r="D1" s="64"/>
      <c r="E1" s="64"/>
    </row>
    <row r="2" spans="1:22" x14ac:dyDescent="0.25">
      <c r="A2" s="45" t="s">
        <v>76</v>
      </c>
      <c r="B2" s="46"/>
      <c r="C2" s="46"/>
      <c r="D2" s="46"/>
      <c r="E2" s="33">
        <v>5.5</v>
      </c>
      <c r="H2" s="45" t="s">
        <v>52</v>
      </c>
      <c r="I2" s="46"/>
      <c r="J2" s="46"/>
      <c r="K2" s="46"/>
      <c r="L2" s="33">
        <v>5.5</v>
      </c>
    </row>
    <row r="3" spans="1:22" ht="15" customHeight="1" x14ac:dyDescent="0.25">
      <c r="A3" s="65" t="s">
        <v>53</v>
      </c>
      <c r="B3" s="66"/>
      <c r="C3" s="66"/>
      <c r="D3" s="66"/>
      <c r="E3" s="33">
        <v>0.6</v>
      </c>
      <c r="H3" s="65" t="s">
        <v>59</v>
      </c>
      <c r="I3" s="66"/>
      <c r="J3" s="66"/>
      <c r="K3" s="66"/>
      <c r="L3" s="21">
        <v>7</v>
      </c>
    </row>
    <row r="4" spans="1:22" ht="30" customHeight="1" x14ac:dyDescent="0.25">
      <c r="A4" s="67" t="s">
        <v>54</v>
      </c>
      <c r="B4" s="68"/>
      <c r="C4" s="68"/>
      <c r="D4" s="68"/>
      <c r="E4" s="21">
        <v>5</v>
      </c>
    </row>
    <row r="5" spans="1:22" ht="30" customHeight="1" x14ac:dyDescent="0.25">
      <c r="A5" s="67" t="s">
        <v>55</v>
      </c>
      <c r="B5" s="68"/>
      <c r="C5" s="68"/>
      <c r="D5" s="68"/>
      <c r="E5" s="21">
        <v>55</v>
      </c>
    </row>
    <row r="6" spans="1:22" x14ac:dyDescent="0.25">
      <c r="A6" s="65" t="s">
        <v>59</v>
      </c>
      <c r="B6" s="66"/>
      <c r="C6" s="66"/>
      <c r="D6" s="66"/>
      <c r="E6" s="21">
        <v>9</v>
      </c>
    </row>
    <row r="8" spans="1:22" ht="15" customHeight="1" x14ac:dyDescent="0.25">
      <c r="A8" s="81" t="s">
        <v>41</v>
      </c>
      <c r="B8" s="81" t="s">
        <v>42</v>
      </c>
      <c r="C8" s="81" t="s">
        <v>43</v>
      </c>
      <c r="D8" s="87" t="s">
        <v>27</v>
      </c>
      <c r="E8" s="87"/>
      <c r="F8" s="87"/>
      <c r="G8" s="87" t="s">
        <v>26</v>
      </c>
      <c r="H8" s="87"/>
      <c r="I8" s="87"/>
      <c r="J8" s="87"/>
      <c r="L8" s="61" t="s">
        <v>50</v>
      </c>
      <c r="M8" s="61" t="s">
        <v>51</v>
      </c>
      <c r="N8" s="61" t="s">
        <v>43</v>
      </c>
      <c r="O8" s="72" t="s">
        <v>27</v>
      </c>
      <c r="P8" s="72"/>
      <c r="Q8" s="72"/>
      <c r="R8" s="72" t="s">
        <v>26</v>
      </c>
      <c r="S8" s="72"/>
      <c r="T8" s="72"/>
      <c r="U8" s="72"/>
      <c r="V8" s="72" t="s">
        <v>32</v>
      </c>
    </row>
    <row r="9" spans="1:22" ht="15" customHeight="1" x14ac:dyDescent="0.25">
      <c r="A9" s="86"/>
      <c r="B9" s="86"/>
      <c r="C9" s="86"/>
      <c r="D9" s="81" t="s">
        <v>46</v>
      </c>
      <c r="E9" s="83" t="s">
        <v>47</v>
      </c>
      <c r="F9" s="84"/>
      <c r="G9" s="81" t="s">
        <v>49</v>
      </c>
      <c r="H9" s="83" t="s">
        <v>48</v>
      </c>
      <c r="I9" s="84"/>
      <c r="J9" s="85" t="s">
        <v>12</v>
      </c>
      <c r="L9" s="62"/>
      <c r="M9" s="62"/>
      <c r="N9" s="62"/>
      <c r="O9" s="73" t="s">
        <v>46</v>
      </c>
      <c r="P9" s="75" t="s">
        <v>47</v>
      </c>
      <c r="Q9" s="76"/>
      <c r="R9" s="73" t="s">
        <v>49</v>
      </c>
      <c r="S9" s="75" t="s">
        <v>48</v>
      </c>
      <c r="T9" s="76"/>
      <c r="U9" s="80" t="s">
        <v>12</v>
      </c>
      <c r="V9" s="72"/>
    </row>
    <row r="10" spans="1:22" x14ac:dyDescent="0.25">
      <c r="A10" s="82"/>
      <c r="B10" s="82"/>
      <c r="C10" s="82"/>
      <c r="D10" s="82"/>
      <c r="E10" s="51" t="s">
        <v>44</v>
      </c>
      <c r="F10" s="51" t="s">
        <v>45</v>
      </c>
      <c r="G10" s="82"/>
      <c r="H10" s="51" t="s">
        <v>44</v>
      </c>
      <c r="I10" s="51" t="s">
        <v>45</v>
      </c>
      <c r="J10" s="82"/>
      <c r="L10" s="63"/>
      <c r="M10" s="63"/>
      <c r="N10" s="63"/>
      <c r="O10" s="74"/>
      <c r="P10" s="38" t="s">
        <v>44</v>
      </c>
      <c r="Q10" s="38" t="s">
        <v>45</v>
      </c>
      <c r="R10" s="74"/>
      <c r="S10" s="38" t="s">
        <v>44</v>
      </c>
      <c r="T10" s="38" t="s">
        <v>45</v>
      </c>
      <c r="U10" s="63"/>
      <c r="V10" s="72"/>
    </row>
    <row r="11" spans="1:22" x14ac:dyDescent="0.25">
      <c r="A11" s="50" t="s">
        <v>14</v>
      </c>
      <c r="B11" s="52">
        <v>1</v>
      </c>
      <c r="C11" s="52">
        <f>1*$E$3/100</f>
        <v>6.0000000000000001E-3</v>
      </c>
      <c r="D11" s="50">
        <f>$B$25</f>
        <v>13</v>
      </c>
      <c r="E11" s="53">
        <v>4</v>
      </c>
      <c r="F11" s="53">
        <v>2</v>
      </c>
      <c r="G11" s="54">
        <f t="shared" ref="G11:G21" si="0">D11*$E$4*$C11</f>
        <v>0.39</v>
      </c>
      <c r="H11" s="54">
        <f>E11*$E$5*$C11</f>
        <v>1.32</v>
      </c>
      <c r="I11" s="54">
        <f t="shared" ref="I11:I24" si="1">F11*($L$3*60)*$C11</f>
        <v>5.04</v>
      </c>
      <c r="J11" s="54">
        <f>G11+H11+I11</f>
        <v>6.75</v>
      </c>
      <c r="L11" s="42" t="s">
        <v>1</v>
      </c>
      <c r="M11" s="48">
        <v>0.498</v>
      </c>
      <c r="N11" s="8">
        <f>M11*$L$2/100</f>
        <v>2.7389999999999998E-2</v>
      </c>
      <c r="O11" s="9">
        <f t="shared" ref="O11:O24" si="2">$B$25</f>
        <v>13</v>
      </c>
      <c r="P11" s="15">
        <v>0</v>
      </c>
      <c r="Q11" s="41">
        <v>0</v>
      </c>
      <c r="R11" s="7">
        <f>O11*$E$4*$N11</f>
        <v>1.7803499999999999</v>
      </c>
      <c r="S11" s="7">
        <f>P11*$E$5*$N11</f>
        <v>0</v>
      </c>
      <c r="T11" s="7">
        <f>Q11*($E$6*60)*$N11</f>
        <v>0</v>
      </c>
      <c r="U11" s="7">
        <f>R11+S11+T11</f>
        <v>1.7803499999999999</v>
      </c>
      <c r="V11" s="7">
        <f>J11+U11</f>
        <v>8.5303500000000003</v>
      </c>
    </row>
    <row r="12" spans="1:22" x14ac:dyDescent="0.25">
      <c r="A12" s="49" t="s">
        <v>15</v>
      </c>
      <c r="B12" s="52">
        <v>1</v>
      </c>
      <c r="C12" s="52">
        <f t="shared" ref="C12:C24" si="3">1*$E$3/100</f>
        <v>6.0000000000000001E-3</v>
      </c>
      <c r="D12" s="50">
        <v>13</v>
      </c>
      <c r="E12" s="53">
        <v>1</v>
      </c>
      <c r="F12" s="53">
        <v>1</v>
      </c>
      <c r="G12" s="54">
        <f t="shared" si="0"/>
        <v>0.39</v>
      </c>
      <c r="H12" s="54">
        <f t="shared" ref="H12:H21" si="4">E12*$E$5*$C12</f>
        <v>0.33</v>
      </c>
      <c r="I12" s="54">
        <f t="shared" si="1"/>
        <v>2.52</v>
      </c>
      <c r="J12" s="54">
        <f t="shared" ref="J12:J21" si="5">G12+H12+I12</f>
        <v>3.24</v>
      </c>
      <c r="L12" s="49" t="s">
        <v>2</v>
      </c>
      <c r="M12" s="48">
        <v>9.5000000000000001E-2</v>
      </c>
      <c r="N12" s="8">
        <f>M12*$E$2/100</f>
        <v>5.2249999999999996E-3</v>
      </c>
      <c r="O12" s="9">
        <f t="shared" si="2"/>
        <v>13</v>
      </c>
      <c r="P12" s="15">
        <v>1</v>
      </c>
      <c r="Q12" s="41">
        <v>1</v>
      </c>
      <c r="R12" s="7">
        <f t="shared" ref="R12:R24" si="6">O12*$E$4*$N12</f>
        <v>0.33962499999999995</v>
      </c>
      <c r="S12" s="7">
        <f t="shared" ref="S12:S24" si="7">P12*$E$5*$N12</f>
        <v>0.28737499999999999</v>
      </c>
      <c r="T12" s="7">
        <f t="shared" ref="T12:T24" si="8">Q12*($E$6*60)*$N12</f>
        <v>2.8214999999999999</v>
      </c>
      <c r="U12" s="7">
        <f t="shared" ref="U12:U24" si="9">R12+S12+T12</f>
        <v>3.4485000000000001</v>
      </c>
      <c r="V12" s="7">
        <f t="shared" ref="V12:V24" si="10">J12+U12</f>
        <v>6.6885000000000003</v>
      </c>
    </row>
    <row r="13" spans="1:22" x14ac:dyDescent="0.25">
      <c r="A13" s="50" t="s">
        <v>16</v>
      </c>
      <c r="B13" s="52">
        <v>1</v>
      </c>
      <c r="C13" s="52">
        <f t="shared" si="3"/>
        <v>6.0000000000000001E-3</v>
      </c>
      <c r="D13" s="50">
        <f t="shared" ref="D13:D24" si="11">$B$25</f>
        <v>13</v>
      </c>
      <c r="E13" s="53">
        <v>2</v>
      </c>
      <c r="F13" s="53">
        <v>2</v>
      </c>
      <c r="G13" s="54">
        <f t="shared" si="0"/>
        <v>0.39</v>
      </c>
      <c r="H13" s="54">
        <f t="shared" si="4"/>
        <v>0.66</v>
      </c>
      <c r="I13" s="54">
        <f t="shared" si="1"/>
        <v>5.04</v>
      </c>
      <c r="J13" s="54">
        <f t="shared" si="5"/>
        <v>6.09</v>
      </c>
      <c r="L13" s="42" t="s">
        <v>3</v>
      </c>
      <c r="M13" s="48">
        <v>4.7E-2</v>
      </c>
      <c r="N13" s="8">
        <f t="shared" ref="N13:N24" si="12">M13*$E$2/100</f>
        <v>2.5850000000000001E-3</v>
      </c>
      <c r="O13" s="9">
        <f t="shared" si="2"/>
        <v>13</v>
      </c>
      <c r="P13" s="15">
        <v>2</v>
      </c>
      <c r="Q13" s="41">
        <v>0</v>
      </c>
      <c r="R13" s="7">
        <f t="shared" si="6"/>
        <v>0.16802500000000001</v>
      </c>
      <c r="S13" s="7">
        <f t="shared" si="7"/>
        <v>0.28434999999999999</v>
      </c>
      <c r="T13" s="7">
        <f t="shared" si="8"/>
        <v>0</v>
      </c>
      <c r="U13" s="7">
        <f t="shared" si="9"/>
        <v>0.45237499999999997</v>
      </c>
      <c r="V13" s="7">
        <f t="shared" si="10"/>
        <v>6.5423749999999998</v>
      </c>
    </row>
    <row r="14" spans="1:22" x14ac:dyDescent="0.25">
      <c r="A14" s="49" t="s">
        <v>17</v>
      </c>
      <c r="B14" s="52">
        <v>1</v>
      </c>
      <c r="C14" s="52">
        <f t="shared" si="3"/>
        <v>6.0000000000000001E-3</v>
      </c>
      <c r="D14" s="50">
        <v>13</v>
      </c>
      <c r="E14" s="53">
        <v>1</v>
      </c>
      <c r="F14" s="53">
        <v>1</v>
      </c>
      <c r="G14" s="54">
        <f t="shared" si="0"/>
        <v>0.39</v>
      </c>
      <c r="H14" s="54">
        <f t="shared" si="4"/>
        <v>0.33</v>
      </c>
      <c r="I14" s="54">
        <f t="shared" si="1"/>
        <v>2.52</v>
      </c>
      <c r="J14" s="54">
        <f t="shared" si="5"/>
        <v>3.24</v>
      </c>
      <c r="L14" s="49" t="s">
        <v>4</v>
      </c>
      <c r="M14" s="48">
        <v>1.2999999999999999E-2</v>
      </c>
      <c r="N14" s="8">
        <f t="shared" si="12"/>
        <v>7.1499999999999992E-4</v>
      </c>
      <c r="O14" s="9">
        <f t="shared" si="2"/>
        <v>13</v>
      </c>
      <c r="P14" s="15">
        <v>1</v>
      </c>
      <c r="Q14" s="41">
        <v>1</v>
      </c>
      <c r="R14" s="7">
        <f t="shared" si="6"/>
        <v>4.6474999999999995E-2</v>
      </c>
      <c r="S14" s="7">
        <f t="shared" si="7"/>
        <v>3.9324999999999999E-2</v>
      </c>
      <c r="T14" s="7">
        <f t="shared" si="8"/>
        <v>0.38609999999999994</v>
      </c>
      <c r="U14" s="7">
        <f t="shared" si="9"/>
        <v>0.47189999999999993</v>
      </c>
      <c r="V14" s="7">
        <f t="shared" si="10"/>
        <v>3.7119</v>
      </c>
    </row>
    <row r="15" spans="1:22" x14ac:dyDescent="0.25">
      <c r="A15" s="50" t="s">
        <v>18</v>
      </c>
      <c r="B15" s="52">
        <v>1</v>
      </c>
      <c r="C15" s="52">
        <f t="shared" si="3"/>
        <v>6.0000000000000001E-3</v>
      </c>
      <c r="D15" s="50">
        <f t="shared" si="11"/>
        <v>13</v>
      </c>
      <c r="E15" s="53">
        <v>8</v>
      </c>
      <c r="F15" s="53">
        <v>2</v>
      </c>
      <c r="G15" s="54">
        <f t="shared" si="0"/>
        <v>0.39</v>
      </c>
      <c r="H15" s="54">
        <f t="shared" si="4"/>
        <v>2.64</v>
      </c>
      <c r="I15" s="54">
        <f t="shared" si="1"/>
        <v>5.04</v>
      </c>
      <c r="J15" s="54">
        <f t="shared" si="5"/>
        <v>8.07</v>
      </c>
      <c r="L15" s="42" t="s">
        <v>5</v>
      </c>
      <c r="M15" s="48">
        <v>0.08</v>
      </c>
      <c r="N15" s="8">
        <f t="shared" si="12"/>
        <v>4.4000000000000003E-3</v>
      </c>
      <c r="O15" s="9">
        <f t="shared" si="2"/>
        <v>13</v>
      </c>
      <c r="P15" s="15">
        <v>2</v>
      </c>
      <c r="Q15" s="41">
        <v>0</v>
      </c>
      <c r="R15" s="7">
        <f t="shared" si="6"/>
        <v>0.28600000000000003</v>
      </c>
      <c r="S15" s="7">
        <f t="shared" si="7"/>
        <v>0.48400000000000004</v>
      </c>
      <c r="T15" s="7">
        <f t="shared" si="8"/>
        <v>0</v>
      </c>
      <c r="U15" s="7">
        <f t="shared" si="9"/>
        <v>0.77</v>
      </c>
      <c r="V15" s="7">
        <f t="shared" si="10"/>
        <v>8.84</v>
      </c>
    </row>
    <row r="16" spans="1:22" x14ac:dyDescent="0.25">
      <c r="A16" s="49" t="s">
        <v>19</v>
      </c>
      <c r="B16" s="52">
        <v>1</v>
      </c>
      <c r="C16" s="52">
        <f t="shared" si="3"/>
        <v>6.0000000000000001E-3</v>
      </c>
      <c r="D16" s="50">
        <v>13</v>
      </c>
      <c r="E16" s="53">
        <v>1</v>
      </c>
      <c r="F16" s="53">
        <v>1</v>
      </c>
      <c r="G16" s="54">
        <f t="shared" si="0"/>
        <v>0.39</v>
      </c>
      <c r="H16" s="54">
        <f t="shared" si="4"/>
        <v>0.33</v>
      </c>
      <c r="I16" s="54">
        <f t="shared" si="1"/>
        <v>2.52</v>
      </c>
      <c r="J16" s="54">
        <f t="shared" si="5"/>
        <v>3.24</v>
      </c>
      <c r="L16" s="49" t="s">
        <v>6</v>
      </c>
      <c r="M16" s="48">
        <v>0.02</v>
      </c>
      <c r="N16" s="8">
        <f t="shared" si="12"/>
        <v>1.1000000000000001E-3</v>
      </c>
      <c r="O16" s="9">
        <f t="shared" si="2"/>
        <v>13</v>
      </c>
      <c r="P16" s="15">
        <v>1</v>
      </c>
      <c r="Q16" s="41">
        <v>1</v>
      </c>
      <c r="R16" s="7">
        <f t="shared" si="6"/>
        <v>7.1500000000000008E-2</v>
      </c>
      <c r="S16" s="7">
        <f t="shared" si="7"/>
        <v>6.0500000000000005E-2</v>
      </c>
      <c r="T16" s="7">
        <f t="shared" si="8"/>
        <v>0.59400000000000008</v>
      </c>
      <c r="U16" s="7">
        <f t="shared" si="9"/>
        <v>0.72600000000000009</v>
      </c>
      <c r="V16" s="7">
        <f t="shared" si="10"/>
        <v>3.9660000000000002</v>
      </c>
    </row>
    <row r="17" spans="1:22" x14ac:dyDescent="0.25">
      <c r="A17" s="50" t="s">
        <v>20</v>
      </c>
      <c r="B17" s="52">
        <v>1</v>
      </c>
      <c r="C17" s="52">
        <f t="shared" si="3"/>
        <v>6.0000000000000001E-3</v>
      </c>
      <c r="D17" s="50">
        <f t="shared" si="11"/>
        <v>13</v>
      </c>
      <c r="E17" s="53">
        <v>4</v>
      </c>
      <c r="F17" s="53">
        <v>2</v>
      </c>
      <c r="G17" s="54">
        <f t="shared" si="0"/>
        <v>0.39</v>
      </c>
      <c r="H17" s="54">
        <f t="shared" si="4"/>
        <v>1.32</v>
      </c>
      <c r="I17" s="54">
        <f t="shared" si="1"/>
        <v>5.04</v>
      </c>
      <c r="J17" s="54">
        <f t="shared" si="5"/>
        <v>6.75</v>
      </c>
      <c r="L17" s="42" t="s">
        <v>7</v>
      </c>
      <c r="M17" s="48">
        <v>0.157</v>
      </c>
      <c r="N17" s="8">
        <f t="shared" si="12"/>
        <v>8.6350000000000003E-3</v>
      </c>
      <c r="O17" s="9">
        <f t="shared" si="2"/>
        <v>13</v>
      </c>
      <c r="P17" s="15">
        <v>4</v>
      </c>
      <c r="Q17" s="41">
        <v>0</v>
      </c>
      <c r="R17" s="7">
        <f t="shared" si="6"/>
        <v>0.56127499999999997</v>
      </c>
      <c r="S17" s="7">
        <f t="shared" si="7"/>
        <v>1.8997000000000002</v>
      </c>
      <c r="T17" s="7">
        <f t="shared" si="8"/>
        <v>0</v>
      </c>
      <c r="U17" s="7">
        <f t="shared" si="9"/>
        <v>2.4609750000000004</v>
      </c>
      <c r="V17" s="7">
        <f t="shared" si="10"/>
        <v>9.2109750000000012</v>
      </c>
    </row>
    <row r="18" spans="1:22" x14ac:dyDescent="0.25">
      <c r="A18" s="49" t="s">
        <v>21</v>
      </c>
      <c r="B18" s="52">
        <v>1</v>
      </c>
      <c r="C18" s="52">
        <f t="shared" si="3"/>
        <v>6.0000000000000001E-3</v>
      </c>
      <c r="D18" s="50">
        <v>13</v>
      </c>
      <c r="E18" s="53">
        <v>1</v>
      </c>
      <c r="F18" s="53">
        <v>1</v>
      </c>
      <c r="G18" s="54">
        <f t="shared" si="0"/>
        <v>0.39</v>
      </c>
      <c r="H18" s="54">
        <f t="shared" si="4"/>
        <v>0.33</v>
      </c>
      <c r="I18" s="54">
        <f t="shared" si="1"/>
        <v>2.52</v>
      </c>
      <c r="J18" s="54">
        <f t="shared" si="5"/>
        <v>3.24</v>
      </c>
      <c r="L18" s="49" t="s">
        <v>8</v>
      </c>
      <c r="M18" s="48">
        <v>9.1999999999999998E-2</v>
      </c>
      <c r="N18" s="8">
        <f t="shared" si="12"/>
        <v>5.0600000000000003E-3</v>
      </c>
      <c r="O18" s="9">
        <f t="shared" si="2"/>
        <v>13</v>
      </c>
      <c r="P18" s="15">
        <v>1</v>
      </c>
      <c r="Q18" s="41">
        <v>1</v>
      </c>
      <c r="R18" s="7">
        <f t="shared" si="6"/>
        <v>0.32890000000000003</v>
      </c>
      <c r="S18" s="7">
        <f t="shared" si="7"/>
        <v>0.27829999999999999</v>
      </c>
      <c r="T18" s="7">
        <f t="shared" si="8"/>
        <v>2.7324000000000002</v>
      </c>
      <c r="U18" s="7">
        <f t="shared" si="9"/>
        <v>3.3395999999999999</v>
      </c>
      <c r="V18" s="7">
        <f t="shared" si="10"/>
        <v>6.5796000000000001</v>
      </c>
    </row>
    <row r="19" spans="1:22" x14ac:dyDescent="0.25">
      <c r="A19" s="50" t="s">
        <v>22</v>
      </c>
      <c r="B19" s="52">
        <v>1</v>
      </c>
      <c r="C19" s="52">
        <f t="shared" si="3"/>
        <v>6.0000000000000001E-3</v>
      </c>
      <c r="D19" s="50">
        <f t="shared" si="11"/>
        <v>13</v>
      </c>
      <c r="E19" s="53">
        <v>4</v>
      </c>
      <c r="F19" s="53">
        <v>2</v>
      </c>
      <c r="G19" s="54">
        <f t="shared" si="0"/>
        <v>0.39</v>
      </c>
      <c r="H19" s="54">
        <f t="shared" si="4"/>
        <v>1.32</v>
      </c>
      <c r="I19" s="54">
        <f t="shared" si="1"/>
        <v>5.04</v>
      </c>
      <c r="J19" s="54">
        <f t="shared" si="5"/>
        <v>6.75</v>
      </c>
      <c r="L19" s="42" t="s">
        <v>9</v>
      </c>
      <c r="M19" s="48">
        <v>3.4000000000000002E-2</v>
      </c>
      <c r="N19" s="8">
        <f t="shared" si="12"/>
        <v>1.8699999999999999E-3</v>
      </c>
      <c r="O19" s="9">
        <f t="shared" si="2"/>
        <v>13</v>
      </c>
      <c r="P19" s="15">
        <v>4</v>
      </c>
      <c r="Q19" s="41">
        <v>0</v>
      </c>
      <c r="R19" s="7">
        <f t="shared" si="6"/>
        <v>0.12154999999999999</v>
      </c>
      <c r="S19" s="7">
        <f t="shared" si="7"/>
        <v>0.41139999999999999</v>
      </c>
      <c r="T19" s="7">
        <f t="shared" si="8"/>
        <v>0</v>
      </c>
      <c r="U19" s="7">
        <f t="shared" si="9"/>
        <v>0.53295000000000003</v>
      </c>
      <c r="V19" s="7">
        <f t="shared" si="10"/>
        <v>7.2829499999999996</v>
      </c>
    </row>
    <row r="20" spans="1:22" x14ac:dyDescent="0.25">
      <c r="A20" s="49" t="s">
        <v>23</v>
      </c>
      <c r="B20" s="52">
        <v>1</v>
      </c>
      <c r="C20" s="52">
        <f t="shared" si="3"/>
        <v>6.0000000000000001E-3</v>
      </c>
      <c r="D20" s="50">
        <v>13</v>
      </c>
      <c r="E20" s="53">
        <v>1</v>
      </c>
      <c r="F20" s="53">
        <v>1</v>
      </c>
      <c r="G20" s="54">
        <f t="shared" si="0"/>
        <v>0.39</v>
      </c>
      <c r="H20" s="54">
        <f t="shared" si="4"/>
        <v>0.33</v>
      </c>
      <c r="I20" s="54">
        <f t="shared" si="1"/>
        <v>2.52</v>
      </c>
      <c r="J20" s="54">
        <f t="shared" si="5"/>
        <v>3.24</v>
      </c>
      <c r="L20" s="49" t="s">
        <v>10</v>
      </c>
      <c r="M20" s="48">
        <v>5.3999999999999999E-2</v>
      </c>
      <c r="N20" s="8">
        <f t="shared" si="12"/>
        <v>2.97E-3</v>
      </c>
      <c r="O20" s="9">
        <f t="shared" si="2"/>
        <v>13</v>
      </c>
      <c r="P20" s="15">
        <v>1</v>
      </c>
      <c r="Q20" s="41">
        <v>1</v>
      </c>
      <c r="R20" s="7">
        <f t="shared" si="6"/>
        <v>0.19305</v>
      </c>
      <c r="S20" s="7">
        <f t="shared" si="7"/>
        <v>0.16335</v>
      </c>
      <c r="T20" s="7">
        <f t="shared" si="8"/>
        <v>1.6037999999999999</v>
      </c>
      <c r="U20" s="7">
        <f t="shared" si="9"/>
        <v>1.9601999999999999</v>
      </c>
      <c r="V20" s="7">
        <f t="shared" si="10"/>
        <v>5.2002000000000006</v>
      </c>
    </row>
    <row r="21" spans="1:22" x14ac:dyDescent="0.25">
      <c r="A21" s="50" t="s">
        <v>77</v>
      </c>
      <c r="B21" s="55">
        <v>0</v>
      </c>
      <c r="C21" s="52">
        <f t="shared" si="3"/>
        <v>6.0000000000000001E-3</v>
      </c>
      <c r="D21" s="56">
        <v>13</v>
      </c>
      <c r="E21" s="57">
        <v>6</v>
      </c>
      <c r="F21" s="58">
        <v>2</v>
      </c>
      <c r="G21" s="59">
        <f t="shared" si="0"/>
        <v>0.39</v>
      </c>
      <c r="H21" s="59">
        <f t="shared" si="4"/>
        <v>1.98</v>
      </c>
      <c r="I21" s="59">
        <f t="shared" si="1"/>
        <v>5.04</v>
      </c>
      <c r="J21" s="59">
        <f t="shared" si="5"/>
        <v>7.41</v>
      </c>
      <c r="L21" s="42" t="s">
        <v>78</v>
      </c>
      <c r="M21" s="48">
        <v>0.38400000000000001</v>
      </c>
      <c r="N21" s="8">
        <f t="shared" si="12"/>
        <v>2.112E-2</v>
      </c>
      <c r="O21" s="9">
        <f t="shared" si="2"/>
        <v>13</v>
      </c>
      <c r="P21" s="15">
        <v>4</v>
      </c>
      <c r="Q21" s="41">
        <v>0</v>
      </c>
      <c r="R21" s="7">
        <f t="shared" si="6"/>
        <v>1.3728</v>
      </c>
      <c r="S21" s="7">
        <f t="shared" si="7"/>
        <v>4.6463999999999999</v>
      </c>
      <c r="T21" s="7">
        <f t="shared" si="8"/>
        <v>0</v>
      </c>
      <c r="U21" s="7">
        <f t="shared" si="9"/>
        <v>6.0191999999999997</v>
      </c>
      <c r="V21" s="7">
        <f t="shared" si="10"/>
        <v>13.4292</v>
      </c>
    </row>
    <row r="22" spans="1:22" x14ac:dyDescent="0.25">
      <c r="A22" s="49" t="s">
        <v>82</v>
      </c>
      <c r="B22" s="52">
        <v>1</v>
      </c>
      <c r="C22" s="52">
        <f t="shared" si="3"/>
        <v>6.0000000000000001E-3</v>
      </c>
      <c r="D22" s="50">
        <v>1</v>
      </c>
      <c r="E22" s="53">
        <v>1</v>
      </c>
      <c r="F22" s="53">
        <v>1</v>
      </c>
      <c r="G22" s="54">
        <f>D22*$E$4*$C22</f>
        <v>0.03</v>
      </c>
      <c r="H22" s="54">
        <f>E22*$E$5*$C22</f>
        <v>0.33</v>
      </c>
      <c r="I22" s="54">
        <f t="shared" si="1"/>
        <v>2.52</v>
      </c>
      <c r="J22" s="54">
        <f>G22+H22+I22</f>
        <v>2.88</v>
      </c>
      <c r="L22" s="49" t="s">
        <v>79</v>
      </c>
      <c r="M22" s="48">
        <v>0.03</v>
      </c>
      <c r="N22" s="8">
        <f t="shared" si="12"/>
        <v>1.6499999999999998E-3</v>
      </c>
      <c r="O22" s="9">
        <f t="shared" si="2"/>
        <v>13</v>
      </c>
      <c r="P22" s="15">
        <v>1</v>
      </c>
      <c r="Q22" s="41">
        <v>1</v>
      </c>
      <c r="R22" s="7">
        <f t="shared" si="6"/>
        <v>0.10724999999999998</v>
      </c>
      <c r="S22" s="7">
        <f t="shared" si="7"/>
        <v>9.0749999999999983E-2</v>
      </c>
      <c r="T22" s="7">
        <f t="shared" si="8"/>
        <v>0.8909999999999999</v>
      </c>
      <c r="U22" s="7">
        <f t="shared" si="9"/>
        <v>1.089</v>
      </c>
      <c r="V22" s="7">
        <f t="shared" si="10"/>
        <v>3.9689999999999999</v>
      </c>
    </row>
    <row r="23" spans="1:22" x14ac:dyDescent="0.25">
      <c r="A23" s="49" t="s">
        <v>83</v>
      </c>
      <c r="B23" s="52">
        <v>1</v>
      </c>
      <c r="C23" s="52">
        <f t="shared" si="3"/>
        <v>6.0000000000000001E-3</v>
      </c>
      <c r="D23" s="50">
        <v>1</v>
      </c>
      <c r="E23" s="53">
        <v>1</v>
      </c>
      <c r="F23" s="53">
        <v>1</v>
      </c>
      <c r="G23" s="54">
        <f>D23*$E$4*$C23</f>
        <v>0.03</v>
      </c>
      <c r="H23" s="54">
        <f>E23*$E$5*$C23</f>
        <v>0.33</v>
      </c>
      <c r="I23" s="54">
        <f t="shared" si="1"/>
        <v>2.52</v>
      </c>
      <c r="J23" s="54">
        <f>G23+H23+I23</f>
        <v>2.88</v>
      </c>
      <c r="L23" s="49" t="s">
        <v>80</v>
      </c>
      <c r="M23" s="48">
        <v>3.1E-2</v>
      </c>
      <c r="N23" s="8">
        <f t="shared" si="12"/>
        <v>1.7049999999999999E-3</v>
      </c>
      <c r="O23" s="9">
        <f t="shared" si="2"/>
        <v>13</v>
      </c>
      <c r="P23" s="15">
        <v>1</v>
      </c>
      <c r="Q23" s="41">
        <v>1</v>
      </c>
      <c r="R23" s="7">
        <f t="shared" si="6"/>
        <v>0.11082499999999999</v>
      </c>
      <c r="S23" s="7">
        <f t="shared" si="7"/>
        <v>9.3774999999999997E-2</v>
      </c>
      <c r="T23" s="7">
        <f t="shared" si="8"/>
        <v>0.92069999999999996</v>
      </c>
      <c r="U23" s="7">
        <f t="shared" si="9"/>
        <v>1.1253</v>
      </c>
      <c r="V23" s="7">
        <f t="shared" si="10"/>
        <v>4.0053000000000001</v>
      </c>
    </row>
    <row r="24" spans="1:22" x14ac:dyDescent="0.25">
      <c r="A24" s="50" t="s">
        <v>84</v>
      </c>
      <c r="B24" s="52">
        <v>1</v>
      </c>
      <c r="C24" s="52">
        <f t="shared" si="3"/>
        <v>6.0000000000000001E-3</v>
      </c>
      <c r="D24" s="50">
        <f t="shared" si="11"/>
        <v>13</v>
      </c>
      <c r="E24" s="53">
        <v>1</v>
      </c>
      <c r="F24" s="53">
        <v>1</v>
      </c>
      <c r="G24" s="54">
        <f>D24*$E$4*$C24</f>
        <v>0.39</v>
      </c>
      <c r="H24" s="54">
        <f>E24*$E$5*$C24</f>
        <v>0.33</v>
      </c>
      <c r="I24" s="54">
        <f t="shared" si="1"/>
        <v>2.52</v>
      </c>
      <c r="J24" s="54">
        <f>G24+H24+I24</f>
        <v>3.24</v>
      </c>
      <c r="L24" s="42" t="s">
        <v>81</v>
      </c>
      <c r="M24" s="48">
        <v>1.9E-2</v>
      </c>
      <c r="N24" s="8">
        <f t="shared" si="12"/>
        <v>1.0449999999999999E-3</v>
      </c>
      <c r="O24" s="9">
        <f t="shared" si="2"/>
        <v>13</v>
      </c>
      <c r="P24" s="15">
        <v>1</v>
      </c>
      <c r="Q24" s="41">
        <v>0</v>
      </c>
      <c r="R24" s="7">
        <f t="shared" si="6"/>
        <v>6.7924999999999999E-2</v>
      </c>
      <c r="S24" s="7">
        <f t="shared" si="7"/>
        <v>5.7474999999999998E-2</v>
      </c>
      <c r="T24" s="7">
        <f t="shared" si="8"/>
        <v>0</v>
      </c>
      <c r="U24" s="7">
        <f t="shared" si="9"/>
        <v>0.12540000000000001</v>
      </c>
      <c r="V24" s="7">
        <f t="shared" si="10"/>
        <v>3.3654000000000002</v>
      </c>
    </row>
    <row r="25" spans="1:22" x14ac:dyDescent="0.25">
      <c r="A25" s="60" t="s">
        <v>12</v>
      </c>
      <c r="B25" s="60">
        <f>SUM(B11:B24)</f>
        <v>13</v>
      </c>
      <c r="C25" s="60">
        <f t="shared" ref="C25:J25" si="13">SUM(C11:C24)</f>
        <v>8.4000000000000005E-2</v>
      </c>
      <c r="D25" s="60"/>
      <c r="E25" s="60"/>
      <c r="F25" s="60"/>
      <c r="G25" s="60">
        <f t="shared" si="13"/>
        <v>4.7400000000000011</v>
      </c>
      <c r="H25" s="60">
        <f t="shared" si="13"/>
        <v>11.88</v>
      </c>
      <c r="I25" s="60">
        <f t="shared" si="13"/>
        <v>50.400000000000013</v>
      </c>
      <c r="J25" s="60">
        <f t="shared" si="13"/>
        <v>67.02000000000001</v>
      </c>
      <c r="L25" s="10" t="s">
        <v>12</v>
      </c>
      <c r="M25" s="47">
        <f>SUM(M11:M24)</f>
        <v>1.554</v>
      </c>
      <c r="N25" s="12">
        <f>SUM(N11:N20)</f>
        <v>5.9949999999999996E-2</v>
      </c>
      <c r="O25" s="12"/>
      <c r="P25" s="12"/>
      <c r="Q25" s="12"/>
      <c r="R25" s="11">
        <f>SUM(R11:R21)</f>
        <v>5.2695499999999997</v>
      </c>
      <c r="S25" s="11">
        <f>SUM(S11:S24)</f>
        <v>8.7967000000000013</v>
      </c>
      <c r="T25" s="11">
        <f>SUM(T11:T24)</f>
        <v>9.9495000000000005</v>
      </c>
      <c r="U25" s="11">
        <f>SUM(U11:U21)</f>
        <v>21.962049999999998</v>
      </c>
      <c r="V25" s="11">
        <f>SUM(V11:V21)</f>
        <v>79.982049999999987</v>
      </c>
    </row>
    <row r="27" spans="1:22" x14ac:dyDescent="0.25">
      <c r="A27" s="43" t="s">
        <v>56</v>
      </c>
      <c r="B27" s="1"/>
      <c r="C27" s="1"/>
      <c r="D27" s="1"/>
      <c r="E27" s="36">
        <f>V25/B25</f>
        <v>6.1524653846153834</v>
      </c>
      <c r="F27" s="1" t="s">
        <v>33</v>
      </c>
    </row>
    <row r="29" spans="1:22" ht="30" customHeight="1" x14ac:dyDescent="0.25">
      <c r="A29" s="69" t="s">
        <v>40</v>
      </c>
      <c r="B29" s="70"/>
      <c r="C29" s="70"/>
      <c r="D29" s="70"/>
      <c r="E29" s="70"/>
      <c r="F29" s="70"/>
      <c r="G29" s="70"/>
      <c r="H29" s="70"/>
      <c r="I29" s="70"/>
      <c r="J29" s="70"/>
      <c r="K29" s="70"/>
      <c r="L29" s="70"/>
      <c r="M29" s="70"/>
      <c r="N29" s="70"/>
      <c r="O29" s="70"/>
      <c r="P29" s="70"/>
      <c r="Q29" s="70"/>
      <c r="R29" s="70"/>
      <c r="S29" s="70"/>
      <c r="T29" s="70"/>
      <c r="U29" s="70"/>
      <c r="V29" s="71"/>
    </row>
    <row r="31" spans="1:22" x14ac:dyDescent="0.25">
      <c r="A31" s="44" t="s">
        <v>69</v>
      </c>
      <c r="D31" s="44"/>
    </row>
    <row r="34" spans="1:1" x14ac:dyDescent="0.25">
      <c r="A34" s="44" t="s">
        <v>70</v>
      </c>
    </row>
    <row r="35" spans="1:1" x14ac:dyDescent="0.25">
      <c r="A35" s="44" t="s">
        <v>57</v>
      </c>
    </row>
    <row r="36" spans="1:1" x14ac:dyDescent="0.25">
      <c r="A36" s="44" t="s">
        <v>60</v>
      </c>
    </row>
    <row r="37" spans="1:1" x14ac:dyDescent="0.25">
      <c r="A37" s="44" t="s">
        <v>61</v>
      </c>
    </row>
    <row r="38" spans="1:1" x14ac:dyDescent="0.25">
      <c r="A38" s="44" t="s">
        <v>58</v>
      </c>
    </row>
    <row r="40" spans="1:1" x14ac:dyDescent="0.25">
      <c r="A40" s="44" t="s">
        <v>62</v>
      </c>
    </row>
    <row r="41" spans="1:1" x14ac:dyDescent="0.25">
      <c r="A41" s="44" t="s">
        <v>63</v>
      </c>
    </row>
    <row r="42" spans="1:1" x14ac:dyDescent="0.25">
      <c r="A42" s="44" t="s">
        <v>60</v>
      </c>
    </row>
    <row r="43" spans="1:1" x14ac:dyDescent="0.25">
      <c r="A43" s="44" t="s">
        <v>61</v>
      </c>
    </row>
    <row r="44" spans="1:1" x14ac:dyDescent="0.25">
      <c r="A44" s="44" t="s">
        <v>64</v>
      </c>
    </row>
  </sheetData>
  <mergeCells count="28">
    <mergeCell ref="O9:O10"/>
    <mergeCell ref="P9:Q9"/>
    <mergeCell ref="R9:R10"/>
    <mergeCell ref="S9:T9"/>
    <mergeCell ref="U9:U10"/>
    <mergeCell ref="A29:V29"/>
    <mergeCell ref="M8:M10"/>
    <mergeCell ref="N8:N10"/>
    <mergeCell ref="O8:Q8"/>
    <mergeCell ref="R8:U8"/>
    <mergeCell ref="V8:V10"/>
    <mergeCell ref="D9:D10"/>
    <mergeCell ref="E9:F9"/>
    <mergeCell ref="G9:G10"/>
    <mergeCell ref="H9:I9"/>
    <mergeCell ref="J9:J10"/>
    <mergeCell ref="A8:A10"/>
    <mergeCell ref="B8:B10"/>
    <mergeCell ref="C8:C10"/>
    <mergeCell ref="D8:F8"/>
    <mergeCell ref="G8:J8"/>
    <mergeCell ref="L8:L10"/>
    <mergeCell ref="A1:E1"/>
    <mergeCell ref="A3:D3"/>
    <mergeCell ref="H3:K3"/>
    <mergeCell ref="A4:D4"/>
    <mergeCell ref="A5:D5"/>
    <mergeCell ref="A6:D6"/>
  </mergeCells>
  <phoneticPr fontId="8" type="noConversion"/>
  <pageMargins left="0.7" right="0.7" top="0.75" bottom="0.75" header="0.3" footer="0.3"/>
  <pageSetup paperSize="9"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727F6-E96D-41AA-A369-4573FB3CE693}">
  <dimension ref="A1:V44"/>
  <sheetViews>
    <sheetView workbookViewId="0">
      <selection sqref="A1:V28"/>
    </sheetView>
  </sheetViews>
  <sheetFormatPr defaultColWidth="11.5703125" defaultRowHeight="15" x14ac:dyDescent="0.25"/>
  <cols>
    <col min="1" max="1" width="5.7109375" customWidth="1"/>
    <col min="2" max="2" width="5" customWidth="1"/>
    <col min="3" max="3" width="9.7109375" customWidth="1"/>
    <col min="4" max="4" width="14.28515625" customWidth="1"/>
    <col min="5" max="5" width="11.28515625" style="37" customWidth="1"/>
    <col min="6" max="6" width="13.140625" customWidth="1"/>
    <col min="7" max="7" width="12.7109375" customWidth="1"/>
    <col min="8" max="8" width="7.7109375" customWidth="1"/>
    <col min="9" max="9" width="12.28515625" customWidth="1"/>
    <col min="10" max="10" width="7.7109375" customWidth="1"/>
    <col min="11" max="11" width="1" customWidth="1"/>
    <col min="12" max="12" width="5.140625" customWidth="1"/>
    <col min="13" max="13" width="7.7109375" customWidth="1"/>
    <col min="14" max="14" width="19.5703125" customWidth="1"/>
    <col min="15" max="15" width="11.7109375" customWidth="1"/>
    <col min="16" max="16" width="7.7109375" customWidth="1"/>
    <col min="17" max="17" width="15.5703125" customWidth="1"/>
    <col min="18" max="18" width="18" customWidth="1"/>
    <col min="19" max="19" width="11.7109375" customWidth="1"/>
    <col min="20" max="20" width="12.28515625" customWidth="1"/>
    <col min="21" max="21" width="11.28515625" customWidth="1"/>
    <col min="22" max="22" width="7.7109375" customWidth="1"/>
  </cols>
  <sheetData>
    <row r="1" spans="1:22" x14ac:dyDescent="0.25">
      <c r="A1" s="64" t="s">
        <v>24</v>
      </c>
      <c r="B1" s="64"/>
      <c r="C1" s="64"/>
      <c r="D1" s="64"/>
      <c r="E1" s="64"/>
    </row>
    <row r="2" spans="1:22" x14ac:dyDescent="0.25">
      <c r="A2" s="45" t="s">
        <v>76</v>
      </c>
      <c r="B2" s="46"/>
      <c r="C2" s="46"/>
      <c r="D2" s="46"/>
      <c r="E2" s="33">
        <v>5.5</v>
      </c>
      <c r="H2" s="45" t="s">
        <v>52</v>
      </c>
      <c r="I2" s="46"/>
      <c r="J2" s="46"/>
      <c r="K2" s="46"/>
      <c r="L2" s="33">
        <v>5.5</v>
      </c>
    </row>
    <row r="3" spans="1:22" ht="15" customHeight="1" x14ac:dyDescent="0.25">
      <c r="A3" s="65" t="s">
        <v>53</v>
      </c>
      <c r="B3" s="66"/>
      <c r="C3" s="66"/>
      <c r="D3" s="66"/>
      <c r="E3" s="33">
        <v>0.6</v>
      </c>
      <c r="H3" s="65" t="s">
        <v>59</v>
      </c>
      <c r="I3" s="66"/>
      <c r="J3" s="66"/>
      <c r="K3" s="66"/>
      <c r="L3" s="21">
        <v>7</v>
      </c>
    </row>
    <row r="4" spans="1:22" ht="30" customHeight="1" x14ac:dyDescent="0.25">
      <c r="A4" s="67" t="s">
        <v>54</v>
      </c>
      <c r="B4" s="68"/>
      <c r="C4" s="68"/>
      <c r="D4" s="68"/>
      <c r="E4" s="21">
        <v>5</v>
      </c>
    </row>
    <row r="5" spans="1:22" ht="30" customHeight="1" x14ac:dyDescent="0.25">
      <c r="A5" s="67" t="s">
        <v>55</v>
      </c>
      <c r="B5" s="68"/>
      <c r="C5" s="68"/>
      <c r="D5" s="68"/>
      <c r="E5" s="21">
        <v>55</v>
      </c>
    </row>
    <row r="6" spans="1:22" x14ac:dyDescent="0.25">
      <c r="A6" s="65" t="s">
        <v>59</v>
      </c>
      <c r="B6" s="66"/>
      <c r="C6" s="66"/>
      <c r="D6" s="66"/>
      <c r="E6" s="21">
        <v>9</v>
      </c>
    </row>
    <row r="8" spans="1:22" ht="15" customHeight="1" x14ac:dyDescent="0.25">
      <c r="A8" s="73" t="s">
        <v>41</v>
      </c>
      <c r="B8" s="73" t="s">
        <v>42</v>
      </c>
      <c r="C8" s="73" t="s">
        <v>43</v>
      </c>
      <c r="D8" s="79" t="s">
        <v>27</v>
      </c>
      <c r="E8" s="79"/>
      <c r="F8" s="79"/>
      <c r="G8" s="79" t="s">
        <v>26</v>
      </c>
      <c r="H8" s="79"/>
      <c r="I8" s="79"/>
      <c r="J8" s="79"/>
      <c r="L8" s="61" t="s">
        <v>50</v>
      </c>
      <c r="M8" s="61" t="s">
        <v>51</v>
      </c>
      <c r="N8" s="61" t="s">
        <v>43</v>
      </c>
      <c r="O8" s="72" t="s">
        <v>27</v>
      </c>
      <c r="P8" s="72"/>
      <c r="Q8" s="72"/>
      <c r="R8" s="72" t="s">
        <v>26</v>
      </c>
      <c r="S8" s="72"/>
      <c r="T8" s="72"/>
      <c r="U8" s="72"/>
      <c r="V8" s="72" t="s">
        <v>32</v>
      </c>
    </row>
    <row r="9" spans="1:22" ht="15" customHeight="1" x14ac:dyDescent="0.25">
      <c r="A9" s="78"/>
      <c r="B9" s="78"/>
      <c r="C9" s="78"/>
      <c r="D9" s="73" t="s">
        <v>46</v>
      </c>
      <c r="E9" s="75" t="s">
        <v>47</v>
      </c>
      <c r="F9" s="76"/>
      <c r="G9" s="73" t="s">
        <v>49</v>
      </c>
      <c r="H9" s="75" t="s">
        <v>48</v>
      </c>
      <c r="I9" s="76"/>
      <c r="J9" s="77" t="s">
        <v>12</v>
      </c>
      <c r="L9" s="62"/>
      <c r="M9" s="62"/>
      <c r="N9" s="62"/>
      <c r="O9" s="73" t="s">
        <v>46</v>
      </c>
      <c r="P9" s="75" t="s">
        <v>47</v>
      </c>
      <c r="Q9" s="76"/>
      <c r="R9" s="73" t="s">
        <v>49</v>
      </c>
      <c r="S9" s="75" t="s">
        <v>48</v>
      </c>
      <c r="T9" s="76"/>
      <c r="U9" s="80" t="s">
        <v>12</v>
      </c>
      <c r="V9" s="72"/>
    </row>
    <row r="10" spans="1:22" x14ac:dyDescent="0.25">
      <c r="A10" s="74"/>
      <c r="B10" s="74"/>
      <c r="C10" s="74"/>
      <c r="D10" s="74"/>
      <c r="E10" s="38" t="s">
        <v>44</v>
      </c>
      <c r="F10" s="38" t="s">
        <v>45</v>
      </c>
      <c r="G10" s="74"/>
      <c r="H10" s="38" t="s">
        <v>44</v>
      </c>
      <c r="I10" s="38" t="s">
        <v>45</v>
      </c>
      <c r="J10" s="74"/>
      <c r="L10" s="63"/>
      <c r="M10" s="63"/>
      <c r="N10" s="63"/>
      <c r="O10" s="74"/>
      <c r="P10" s="38" t="s">
        <v>44</v>
      </c>
      <c r="Q10" s="38" t="s">
        <v>45</v>
      </c>
      <c r="R10" s="74"/>
      <c r="S10" s="38" t="s">
        <v>44</v>
      </c>
      <c r="T10" s="38" t="s">
        <v>45</v>
      </c>
      <c r="U10" s="63"/>
      <c r="V10" s="72"/>
    </row>
    <row r="11" spans="1:22" x14ac:dyDescent="0.25">
      <c r="A11" s="50" t="s">
        <v>14</v>
      </c>
      <c r="B11" s="23">
        <v>1</v>
      </c>
      <c r="C11" s="23">
        <f>1*$E$3/100</f>
        <v>6.0000000000000001E-3</v>
      </c>
      <c r="D11" s="35">
        <f>$B$25</f>
        <v>12</v>
      </c>
      <c r="E11" s="34">
        <v>2</v>
      </c>
      <c r="F11" s="34">
        <v>1</v>
      </c>
      <c r="G11" s="39">
        <f t="shared" ref="G11:G24" si="0">D11*$E$4*$C11</f>
        <v>0.36</v>
      </c>
      <c r="H11" s="39">
        <f>E11*$E$5*$C11</f>
        <v>0.66</v>
      </c>
      <c r="I11" s="39">
        <f t="shared" ref="I11" si="1">F11*($L$3*60)*$C11</f>
        <v>2.52</v>
      </c>
      <c r="J11" s="39">
        <f>G11+H11+I11</f>
        <v>3.54</v>
      </c>
      <c r="L11" s="42" t="s">
        <v>1</v>
      </c>
      <c r="M11" s="48">
        <v>0.45200000000000001</v>
      </c>
      <c r="N11" s="8">
        <f>M11*$L$2/100</f>
        <v>2.4860000000000004E-2</v>
      </c>
      <c r="O11" s="9">
        <f t="shared" ref="O11:O24" si="2">$B$25</f>
        <v>12</v>
      </c>
      <c r="P11" s="15">
        <v>0</v>
      </c>
      <c r="Q11" s="41">
        <v>0</v>
      </c>
      <c r="R11" s="7">
        <f>O11*$E$4*$N11</f>
        <v>1.4916000000000003</v>
      </c>
      <c r="S11" s="7">
        <f>P11*$E$5*$N11</f>
        <v>0</v>
      </c>
      <c r="T11" s="7">
        <f>Q11*($E$6*60)*$N11</f>
        <v>0</v>
      </c>
      <c r="U11" s="7">
        <f>R11+S11+T11</f>
        <v>1.4916000000000003</v>
      </c>
      <c r="V11" s="7">
        <f>J11+U11</f>
        <v>5.0316000000000001</v>
      </c>
    </row>
    <row r="12" spans="1:22" x14ac:dyDescent="0.25">
      <c r="A12" s="50" t="s">
        <v>15</v>
      </c>
      <c r="B12" s="23">
        <v>1</v>
      </c>
      <c r="C12" s="23">
        <f t="shared" ref="C12:C24" si="3">1*$E$3/100</f>
        <v>6.0000000000000001E-3</v>
      </c>
      <c r="D12" s="35">
        <f t="shared" ref="D12:D23" si="4">$B$25</f>
        <v>12</v>
      </c>
      <c r="E12" s="34">
        <v>1</v>
      </c>
      <c r="F12" s="34">
        <v>1</v>
      </c>
      <c r="G12" s="39">
        <f t="shared" si="0"/>
        <v>0.36</v>
      </c>
      <c r="H12" s="39">
        <f t="shared" ref="H12:H24" si="5">E12*$E$5*$C12</f>
        <v>0.33</v>
      </c>
      <c r="I12" s="39">
        <f t="shared" ref="I12:I24" si="6">F12*($L$3*60)*$C12</f>
        <v>2.52</v>
      </c>
      <c r="J12" s="39">
        <f t="shared" ref="J12:J24" si="7">G12+H12+I12</f>
        <v>3.21</v>
      </c>
      <c r="L12" s="42" t="s">
        <v>2</v>
      </c>
      <c r="M12" s="48">
        <v>0.04</v>
      </c>
      <c r="N12" s="8">
        <f>M12*$E$2/100</f>
        <v>2.2000000000000001E-3</v>
      </c>
      <c r="O12" s="9">
        <f t="shared" si="2"/>
        <v>12</v>
      </c>
      <c r="P12" s="15">
        <v>1</v>
      </c>
      <c r="Q12" s="41">
        <v>0</v>
      </c>
      <c r="R12" s="7">
        <f t="shared" ref="R12:R16" si="8">O12*$E$4*$N12</f>
        <v>0.13200000000000001</v>
      </c>
      <c r="S12" s="7">
        <f t="shared" ref="S12:S16" si="9">P12*$E$5*$N12</f>
        <v>0.12100000000000001</v>
      </c>
      <c r="T12" s="7">
        <f t="shared" ref="T12:T16" si="10">Q12*($E$6*60)*$N12</f>
        <v>0</v>
      </c>
      <c r="U12" s="7">
        <f t="shared" ref="U12:U16" si="11">R12+S12+T12</f>
        <v>0.253</v>
      </c>
      <c r="V12" s="7">
        <f t="shared" ref="V12:V16" si="12">J12+U12</f>
        <v>3.4630000000000001</v>
      </c>
    </row>
    <row r="13" spans="1:22" x14ac:dyDescent="0.25">
      <c r="A13" s="50" t="s">
        <v>16</v>
      </c>
      <c r="B13" s="23">
        <v>1</v>
      </c>
      <c r="C13" s="23">
        <f t="shared" si="3"/>
        <v>6.0000000000000001E-3</v>
      </c>
      <c r="D13" s="35">
        <f t="shared" si="4"/>
        <v>12</v>
      </c>
      <c r="E13" s="34">
        <v>5</v>
      </c>
      <c r="F13" s="34">
        <v>1</v>
      </c>
      <c r="G13" s="39">
        <f t="shared" si="0"/>
        <v>0.36</v>
      </c>
      <c r="H13" s="39">
        <f t="shared" si="5"/>
        <v>1.6500000000000001</v>
      </c>
      <c r="I13" s="39">
        <f t="shared" si="6"/>
        <v>2.52</v>
      </c>
      <c r="J13" s="39">
        <f t="shared" si="7"/>
        <v>4.53</v>
      </c>
      <c r="L13" s="42" t="s">
        <v>3</v>
      </c>
      <c r="M13" s="48">
        <v>5.8999999999999997E-2</v>
      </c>
      <c r="N13" s="8">
        <f t="shared" ref="N13:N24" si="13">M13*$E$2/100</f>
        <v>3.2450000000000001E-3</v>
      </c>
      <c r="O13" s="9">
        <f t="shared" si="2"/>
        <v>12</v>
      </c>
      <c r="P13" s="15">
        <v>1</v>
      </c>
      <c r="Q13" s="41">
        <v>0</v>
      </c>
      <c r="R13" s="7">
        <f t="shared" si="8"/>
        <v>0.19470000000000001</v>
      </c>
      <c r="S13" s="7">
        <f t="shared" si="9"/>
        <v>0.17847499999999999</v>
      </c>
      <c r="T13" s="7">
        <f t="shared" si="10"/>
        <v>0</v>
      </c>
      <c r="U13" s="7">
        <f t="shared" si="11"/>
        <v>0.37317500000000003</v>
      </c>
      <c r="V13" s="7">
        <f t="shared" si="12"/>
        <v>4.9031750000000001</v>
      </c>
    </row>
    <row r="14" spans="1:22" x14ac:dyDescent="0.25">
      <c r="A14" s="50" t="s">
        <v>17</v>
      </c>
      <c r="B14" s="23">
        <v>1</v>
      </c>
      <c r="C14" s="23">
        <f t="shared" si="3"/>
        <v>6.0000000000000001E-3</v>
      </c>
      <c r="D14" s="35">
        <f t="shared" si="4"/>
        <v>12</v>
      </c>
      <c r="E14" s="34">
        <v>3</v>
      </c>
      <c r="F14" s="34">
        <v>3</v>
      </c>
      <c r="G14" s="39">
        <f t="shared" si="0"/>
        <v>0.36</v>
      </c>
      <c r="H14" s="39">
        <f t="shared" si="5"/>
        <v>0.99</v>
      </c>
      <c r="I14" s="39">
        <f t="shared" si="6"/>
        <v>7.5600000000000005</v>
      </c>
      <c r="J14" s="39">
        <f t="shared" si="7"/>
        <v>8.91</v>
      </c>
      <c r="L14" s="42" t="s">
        <v>4</v>
      </c>
      <c r="M14" s="48">
        <v>2.8000000000000001E-2</v>
      </c>
      <c r="N14" s="8">
        <f t="shared" si="13"/>
        <v>1.5399999999999999E-3</v>
      </c>
      <c r="O14" s="9">
        <f t="shared" si="2"/>
        <v>12</v>
      </c>
      <c r="P14" s="15">
        <v>3</v>
      </c>
      <c r="Q14" s="41">
        <v>0</v>
      </c>
      <c r="R14" s="7">
        <f t="shared" si="8"/>
        <v>9.2399999999999996E-2</v>
      </c>
      <c r="S14" s="7">
        <f t="shared" si="9"/>
        <v>0.25409999999999999</v>
      </c>
      <c r="T14" s="7">
        <f t="shared" si="10"/>
        <v>0</v>
      </c>
      <c r="U14" s="7">
        <f t="shared" si="11"/>
        <v>0.34649999999999997</v>
      </c>
      <c r="V14" s="7">
        <f t="shared" si="12"/>
        <v>9.2565000000000008</v>
      </c>
    </row>
    <row r="15" spans="1:22" x14ac:dyDescent="0.25">
      <c r="A15" s="49" t="s">
        <v>18</v>
      </c>
      <c r="B15" s="23">
        <v>1</v>
      </c>
      <c r="C15" s="23">
        <f t="shared" si="3"/>
        <v>6.0000000000000001E-3</v>
      </c>
      <c r="D15" s="35">
        <v>12</v>
      </c>
      <c r="E15" s="34">
        <v>1</v>
      </c>
      <c r="F15" s="34">
        <v>1</v>
      </c>
      <c r="G15" s="39">
        <f t="shared" si="0"/>
        <v>0.36</v>
      </c>
      <c r="H15" s="39">
        <f t="shared" si="5"/>
        <v>0.33</v>
      </c>
      <c r="I15" s="39">
        <f t="shared" si="6"/>
        <v>2.52</v>
      </c>
      <c r="J15" s="39">
        <f t="shared" si="7"/>
        <v>3.21</v>
      </c>
      <c r="L15" s="49" t="s">
        <v>5</v>
      </c>
      <c r="M15" s="48">
        <v>2.5000000000000001E-2</v>
      </c>
      <c r="N15" s="8">
        <f t="shared" si="13"/>
        <v>1.3750000000000001E-3</v>
      </c>
      <c r="O15" s="9">
        <f t="shared" si="2"/>
        <v>12</v>
      </c>
      <c r="P15" s="15">
        <v>3</v>
      </c>
      <c r="Q15" s="41">
        <v>1</v>
      </c>
      <c r="R15" s="7">
        <f t="shared" si="8"/>
        <v>8.2500000000000004E-2</v>
      </c>
      <c r="S15" s="7">
        <f t="shared" si="9"/>
        <v>0.22687500000000002</v>
      </c>
      <c r="T15" s="7">
        <f t="shared" si="10"/>
        <v>0.74250000000000005</v>
      </c>
      <c r="U15" s="7">
        <f t="shared" si="11"/>
        <v>1.0518750000000001</v>
      </c>
      <c r="V15" s="7">
        <f t="shared" si="12"/>
        <v>4.2618749999999999</v>
      </c>
    </row>
    <row r="16" spans="1:22" x14ac:dyDescent="0.25">
      <c r="A16" s="49" t="s">
        <v>19</v>
      </c>
      <c r="B16" s="23">
        <v>1</v>
      </c>
      <c r="C16" s="23">
        <f t="shared" si="3"/>
        <v>6.0000000000000001E-3</v>
      </c>
      <c r="D16" s="35">
        <v>12</v>
      </c>
      <c r="E16" s="34">
        <v>1</v>
      </c>
      <c r="F16" s="34">
        <v>1</v>
      </c>
      <c r="G16" s="39">
        <f t="shared" si="0"/>
        <v>0.36</v>
      </c>
      <c r="H16" s="39">
        <f t="shared" si="5"/>
        <v>0.33</v>
      </c>
      <c r="I16" s="39">
        <f t="shared" si="6"/>
        <v>2.52</v>
      </c>
      <c r="J16" s="39">
        <f t="shared" si="7"/>
        <v>3.21</v>
      </c>
      <c r="L16" s="49" t="s">
        <v>6</v>
      </c>
      <c r="M16" s="48">
        <v>6.0999999999999999E-2</v>
      </c>
      <c r="N16" s="8">
        <f t="shared" si="13"/>
        <v>3.3550000000000003E-3</v>
      </c>
      <c r="O16" s="9">
        <f t="shared" si="2"/>
        <v>12</v>
      </c>
      <c r="P16" s="15">
        <v>3</v>
      </c>
      <c r="Q16" s="41">
        <v>1</v>
      </c>
      <c r="R16" s="7">
        <f t="shared" si="8"/>
        <v>0.20130000000000003</v>
      </c>
      <c r="S16" s="7">
        <f t="shared" si="9"/>
        <v>0.55357500000000004</v>
      </c>
      <c r="T16" s="7">
        <f t="shared" si="10"/>
        <v>1.8117000000000001</v>
      </c>
      <c r="U16" s="7">
        <f t="shared" si="11"/>
        <v>2.5665750000000003</v>
      </c>
      <c r="V16" s="7">
        <f t="shared" si="12"/>
        <v>5.7765750000000002</v>
      </c>
    </row>
    <row r="17" spans="1:22" x14ac:dyDescent="0.25">
      <c r="A17" s="50" t="s">
        <v>20</v>
      </c>
      <c r="B17" s="23">
        <v>0</v>
      </c>
      <c r="C17" s="23">
        <f t="shared" si="3"/>
        <v>6.0000000000000001E-3</v>
      </c>
      <c r="D17" s="35">
        <f t="shared" si="4"/>
        <v>12</v>
      </c>
      <c r="E17" s="34">
        <v>7</v>
      </c>
      <c r="F17" s="34">
        <v>2</v>
      </c>
      <c r="G17" s="39">
        <f t="shared" si="0"/>
        <v>0.36</v>
      </c>
      <c r="H17" s="39">
        <f t="shared" si="5"/>
        <v>2.31</v>
      </c>
      <c r="I17" s="39">
        <f t="shared" si="6"/>
        <v>5.04</v>
      </c>
      <c r="J17" s="39">
        <f t="shared" si="7"/>
        <v>7.71</v>
      </c>
      <c r="L17" s="42" t="s">
        <v>7</v>
      </c>
      <c r="M17" s="48">
        <v>0.1</v>
      </c>
      <c r="N17" s="8">
        <f t="shared" si="13"/>
        <v>5.5000000000000005E-3</v>
      </c>
      <c r="O17" s="9">
        <f t="shared" si="2"/>
        <v>12</v>
      </c>
      <c r="P17" s="15">
        <v>3</v>
      </c>
      <c r="Q17" s="41">
        <v>0</v>
      </c>
      <c r="R17" s="7">
        <f t="shared" ref="R17:R24" si="14">O17*$E$4*$N17</f>
        <v>0.33</v>
      </c>
      <c r="S17" s="7">
        <f t="shared" ref="S17:S24" si="15">P17*$E$5*$N17</f>
        <v>0.90750000000000008</v>
      </c>
      <c r="T17" s="7">
        <f t="shared" ref="T17:T24" si="16">Q17*($E$6*60)*$N17</f>
        <v>0</v>
      </c>
      <c r="U17" s="7">
        <f t="shared" ref="U17:U24" si="17">R17+S17+T17</f>
        <v>1.2375</v>
      </c>
      <c r="V17" s="7">
        <f t="shared" ref="V17:V24" si="18">J17+U17</f>
        <v>8.9474999999999998</v>
      </c>
    </row>
    <row r="18" spans="1:22" x14ac:dyDescent="0.25">
      <c r="A18" s="49" t="s">
        <v>21</v>
      </c>
      <c r="B18" s="23">
        <v>1</v>
      </c>
      <c r="C18" s="23">
        <f t="shared" si="3"/>
        <v>6.0000000000000001E-3</v>
      </c>
      <c r="D18" s="35">
        <v>1</v>
      </c>
      <c r="E18" s="34">
        <v>1</v>
      </c>
      <c r="F18" s="34">
        <v>1</v>
      </c>
      <c r="G18" s="39">
        <f t="shared" si="0"/>
        <v>0.03</v>
      </c>
      <c r="H18" s="39">
        <f t="shared" si="5"/>
        <v>0.33</v>
      </c>
      <c r="I18" s="39">
        <f t="shared" si="6"/>
        <v>2.52</v>
      </c>
      <c r="J18" s="39">
        <f t="shared" si="7"/>
        <v>2.88</v>
      </c>
      <c r="L18" s="49" t="s">
        <v>8</v>
      </c>
      <c r="M18" s="48">
        <v>4.3999999999999997E-2</v>
      </c>
      <c r="N18" s="8">
        <f t="shared" si="13"/>
        <v>2.4199999999999998E-3</v>
      </c>
      <c r="O18" s="9">
        <f t="shared" si="2"/>
        <v>12</v>
      </c>
      <c r="P18" s="15">
        <v>1</v>
      </c>
      <c r="Q18" s="41">
        <v>1</v>
      </c>
      <c r="R18" s="7">
        <f t="shared" si="14"/>
        <v>0.1452</v>
      </c>
      <c r="S18" s="7">
        <f t="shared" si="15"/>
        <v>0.1331</v>
      </c>
      <c r="T18" s="7">
        <f t="shared" si="16"/>
        <v>1.3068</v>
      </c>
      <c r="U18" s="7">
        <f t="shared" si="17"/>
        <v>1.5851</v>
      </c>
      <c r="V18" s="7">
        <f t="shared" si="18"/>
        <v>4.4650999999999996</v>
      </c>
    </row>
    <row r="19" spans="1:22" x14ac:dyDescent="0.25">
      <c r="A19" s="49" t="s">
        <v>22</v>
      </c>
      <c r="B19" s="23">
        <v>1</v>
      </c>
      <c r="C19" s="23">
        <f t="shared" si="3"/>
        <v>6.0000000000000001E-3</v>
      </c>
      <c r="D19" s="35">
        <v>1</v>
      </c>
      <c r="E19" s="34">
        <v>1</v>
      </c>
      <c r="F19" s="34">
        <v>1</v>
      </c>
      <c r="G19" s="39">
        <f t="shared" si="0"/>
        <v>0.03</v>
      </c>
      <c r="H19" s="39">
        <f t="shared" si="5"/>
        <v>0.33</v>
      </c>
      <c r="I19" s="39">
        <f t="shared" si="6"/>
        <v>2.52</v>
      </c>
      <c r="J19" s="39">
        <f t="shared" si="7"/>
        <v>2.88</v>
      </c>
      <c r="L19" s="49" t="s">
        <v>9</v>
      </c>
      <c r="M19" s="48">
        <v>3.5999999999999997E-2</v>
      </c>
      <c r="N19" s="8">
        <f t="shared" si="13"/>
        <v>1.98E-3</v>
      </c>
      <c r="O19" s="9">
        <f t="shared" si="2"/>
        <v>12</v>
      </c>
      <c r="P19" s="15">
        <v>1</v>
      </c>
      <c r="Q19" s="41">
        <v>1</v>
      </c>
      <c r="R19" s="7">
        <f t="shared" si="14"/>
        <v>0.1188</v>
      </c>
      <c r="S19" s="7">
        <f t="shared" si="15"/>
        <v>0.1089</v>
      </c>
      <c r="T19" s="7">
        <f t="shared" si="16"/>
        <v>1.0691999999999999</v>
      </c>
      <c r="U19" s="7">
        <f t="shared" si="17"/>
        <v>1.2968999999999999</v>
      </c>
      <c r="V19" s="7">
        <f t="shared" si="18"/>
        <v>4.1768999999999998</v>
      </c>
    </row>
    <row r="20" spans="1:22" x14ac:dyDescent="0.25">
      <c r="A20" s="50" t="s">
        <v>23</v>
      </c>
      <c r="B20" s="23">
        <v>1</v>
      </c>
      <c r="C20" s="23">
        <f t="shared" si="3"/>
        <v>6.0000000000000001E-3</v>
      </c>
      <c r="D20" s="35">
        <f t="shared" si="4"/>
        <v>12</v>
      </c>
      <c r="E20" s="34">
        <v>2</v>
      </c>
      <c r="F20" s="34">
        <v>1</v>
      </c>
      <c r="G20" s="39">
        <f t="shared" si="0"/>
        <v>0.36</v>
      </c>
      <c r="H20" s="39">
        <f t="shared" si="5"/>
        <v>0.66</v>
      </c>
      <c r="I20" s="39">
        <f t="shared" si="6"/>
        <v>2.52</v>
      </c>
      <c r="J20" s="39">
        <f t="shared" si="7"/>
        <v>3.54</v>
      </c>
      <c r="L20" s="42" t="s">
        <v>10</v>
      </c>
      <c r="M20" s="48">
        <v>0.125</v>
      </c>
      <c r="N20" s="8">
        <f t="shared" si="13"/>
        <v>6.875E-3</v>
      </c>
      <c r="O20" s="9">
        <f t="shared" si="2"/>
        <v>12</v>
      </c>
      <c r="P20" s="15">
        <v>2</v>
      </c>
      <c r="Q20" s="41">
        <v>0</v>
      </c>
      <c r="R20" s="7">
        <f t="shared" si="14"/>
        <v>0.41249999999999998</v>
      </c>
      <c r="S20" s="7">
        <f t="shared" si="15"/>
        <v>0.75624999999999998</v>
      </c>
      <c r="T20" s="7">
        <f t="shared" si="16"/>
        <v>0</v>
      </c>
      <c r="U20" s="7">
        <f t="shared" si="17"/>
        <v>1.16875</v>
      </c>
      <c r="V20" s="7">
        <f t="shared" si="18"/>
        <v>4.7087500000000002</v>
      </c>
    </row>
    <row r="21" spans="1:22" x14ac:dyDescent="0.25">
      <c r="A21" s="50" t="s">
        <v>77</v>
      </c>
      <c r="B21" s="23">
        <v>0</v>
      </c>
      <c r="C21" s="23">
        <f t="shared" si="3"/>
        <v>6.0000000000000001E-3</v>
      </c>
      <c r="D21" s="35">
        <f t="shared" si="4"/>
        <v>12</v>
      </c>
      <c r="E21" s="34">
        <v>2</v>
      </c>
      <c r="F21" s="34">
        <v>1</v>
      </c>
      <c r="G21" s="39">
        <f t="shared" si="0"/>
        <v>0.36</v>
      </c>
      <c r="H21" s="39">
        <f t="shared" si="5"/>
        <v>0.66</v>
      </c>
      <c r="I21" s="39">
        <f t="shared" si="6"/>
        <v>2.52</v>
      </c>
      <c r="J21" s="39">
        <f t="shared" si="7"/>
        <v>3.54</v>
      </c>
      <c r="L21" s="42" t="s">
        <v>78</v>
      </c>
      <c r="M21" s="48">
        <v>0.16700000000000001</v>
      </c>
      <c r="N21" s="8">
        <f t="shared" si="13"/>
        <v>9.1850000000000005E-3</v>
      </c>
      <c r="O21" s="9">
        <f t="shared" si="2"/>
        <v>12</v>
      </c>
      <c r="P21" s="15">
        <v>2</v>
      </c>
      <c r="Q21" s="41">
        <v>0</v>
      </c>
      <c r="R21" s="7">
        <f t="shared" si="14"/>
        <v>0.55110000000000003</v>
      </c>
      <c r="S21" s="7">
        <f t="shared" si="15"/>
        <v>1.0103500000000001</v>
      </c>
      <c r="T21" s="7">
        <f t="shared" si="16"/>
        <v>0</v>
      </c>
      <c r="U21" s="7">
        <f t="shared" si="17"/>
        <v>1.5614500000000002</v>
      </c>
      <c r="V21" s="7">
        <f t="shared" si="18"/>
        <v>5.1014499999999998</v>
      </c>
    </row>
    <row r="22" spans="1:22" x14ac:dyDescent="0.25">
      <c r="A22" s="49" t="s">
        <v>82</v>
      </c>
      <c r="B22" s="23">
        <v>1</v>
      </c>
      <c r="C22" s="23">
        <f t="shared" si="3"/>
        <v>6.0000000000000001E-3</v>
      </c>
      <c r="D22" s="35">
        <v>1</v>
      </c>
      <c r="E22" s="34">
        <v>1</v>
      </c>
      <c r="F22" s="34">
        <v>1</v>
      </c>
      <c r="G22" s="39">
        <f t="shared" si="0"/>
        <v>0.03</v>
      </c>
      <c r="H22" s="39">
        <f t="shared" si="5"/>
        <v>0.33</v>
      </c>
      <c r="I22" s="39">
        <f t="shared" si="6"/>
        <v>2.52</v>
      </c>
      <c r="J22" s="39">
        <f t="shared" si="7"/>
        <v>2.88</v>
      </c>
      <c r="L22" s="49" t="s">
        <v>79</v>
      </c>
      <c r="M22" s="48">
        <v>0.03</v>
      </c>
      <c r="N22" s="8">
        <f t="shared" si="13"/>
        <v>1.6499999999999998E-3</v>
      </c>
      <c r="O22" s="9">
        <f t="shared" si="2"/>
        <v>12</v>
      </c>
      <c r="P22" s="15">
        <v>1</v>
      </c>
      <c r="Q22" s="41">
        <v>1</v>
      </c>
      <c r="R22" s="7">
        <f t="shared" si="14"/>
        <v>9.8999999999999991E-2</v>
      </c>
      <c r="S22" s="7">
        <f t="shared" si="15"/>
        <v>9.0749999999999983E-2</v>
      </c>
      <c r="T22" s="7">
        <f t="shared" si="16"/>
        <v>0.8909999999999999</v>
      </c>
      <c r="U22" s="7">
        <f t="shared" si="17"/>
        <v>1.0807499999999999</v>
      </c>
      <c r="V22" s="7">
        <f t="shared" si="18"/>
        <v>3.96075</v>
      </c>
    </row>
    <row r="23" spans="1:22" x14ac:dyDescent="0.25">
      <c r="A23" s="50" t="s">
        <v>83</v>
      </c>
      <c r="B23" s="23">
        <v>1</v>
      </c>
      <c r="C23" s="23">
        <f t="shared" si="3"/>
        <v>6.0000000000000001E-3</v>
      </c>
      <c r="D23" s="35">
        <f t="shared" si="4"/>
        <v>12</v>
      </c>
      <c r="E23" s="34">
        <v>4</v>
      </c>
      <c r="F23" s="34">
        <v>2</v>
      </c>
      <c r="G23" s="39">
        <f t="shared" si="0"/>
        <v>0.36</v>
      </c>
      <c r="H23" s="39">
        <f t="shared" si="5"/>
        <v>1.32</v>
      </c>
      <c r="I23" s="39">
        <f t="shared" si="6"/>
        <v>5.04</v>
      </c>
      <c r="J23" s="39">
        <f t="shared" si="7"/>
        <v>6.7200000000000006</v>
      </c>
      <c r="L23" s="42" t="s">
        <v>80</v>
      </c>
      <c r="M23" s="48">
        <v>0.3</v>
      </c>
      <c r="N23" s="8">
        <f t="shared" si="13"/>
        <v>1.6500000000000001E-2</v>
      </c>
      <c r="O23" s="9">
        <f t="shared" si="2"/>
        <v>12</v>
      </c>
      <c r="P23" s="15">
        <v>3</v>
      </c>
      <c r="Q23" s="41">
        <v>0</v>
      </c>
      <c r="R23" s="7">
        <f t="shared" si="14"/>
        <v>0.99</v>
      </c>
      <c r="S23" s="7">
        <f t="shared" si="15"/>
        <v>2.7225000000000001</v>
      </c>
      <c r="T23" s="7">
        <f t="shared" si="16"/>
        <v>0</v>
      </c>
      <c r="U23" s="7">
        <f t="shared" si="17"/>
        <v>3.7125000000000004</v>
      </c>
      <c r="V23" s="7">
        <f t="shared" si="18"/>
        <v>10.432500000000001</v>
      </c>
    </row>
    <row r="24" spans="1:22" x14ac:dyDescent="0.25">
      <c r="A24" s="49" t="s">
        <v>84</v>
      </c>
      <c r="B24" s="23">
        <v>1</v>
      </c>
      <c r="C24" s="23">
        <f t="shared" si="3"/>
        <v>6.0000000000000001E-3</v>
      </c>
      <c r="D24" s="35">
        <v>1</v>
      </c>
      <c r="E24" s="34">
        <v>1</v>
      </c>
      <c r="F24" s="34">
        <v>1</v>
      </c>
      <c r="G24" s="39">
        <f t="shared" si="0"/>
        <v>0.03</v>
      </c>
      <c r="H24" s="39">
        <f t="shared" si="5"/>
        <v>0.33</v>
      </c>
      <c r="I24" s="39">
        <f t="shared" si="6"/>
        <v>2.52</v>
      </c>
      <c r="J24" s="39">
        <f t="shared" si="7"/>
        <v>2.88</v>
      </c>
      <c r="L24" s="49" t="s">
        <v>81</v>
      </c>
      <c r="M24" s="48">
        <v>1.9E-2</v>
      </c>
      <c r="N24" s="8">
        <f t="shared" si="13"/>
        <v>1.0449999999999999E-3</v>
      </c>
      <c r="O24" s="9">
        <f t="shared" si="2"/>
        <v>12</v>
      </c>
      <c r="P24" s="15">
        <v>1</v>
      </c>
      <c r="Q24" s="41">
        <v>1</v>
      </c>
      <c r="R24" s="7">
        <f t="shared" si="14"/>
        <v>6.2699999999999992E-2</v>
      </c>
      <c r="S24" s="7">
        <f t="shared" si="15"/>
        <v>5.7474999999999998E-2</v>
      </c>
      <c r="T24" s="7">
        <f t="shared" si="16"/>
        <v>0.56429999999999991</v>
      </c>
      <c r="U24" s="7">
        <f t="shared" si="17"/>
        <v>0.68447499999999994</v>
      </c>
      <c r="V24" s="7">
        <f t="shared" si="18"/>
        <v>3.5644749999999998</v>
      </c>
    </row>
    <row r="25" spans="1:22" x14ac:dyDescent="0.25">
      <c r="A25" s="24" t="s">
        <v>12</v>
      </c>
      <c r="B25" s="24">
        <f>SUM(B11:B24)</f>
        <v>12</v>
      </c>
      <c r="C25" s="24">
        <f t="shared" ref="C25:J25" si="19">SUM(C11:C24)</f>
        <v>8.4000000000000005E-2</v>
      </c>
      <c r="D25" s="24">
        <f t="shared" si="19"/>
        <v>124</v>
      </c>
      <c r="E25" s="24">
        <f t="shared" si="19"/>
        <v>32</v>
      </c>
      <c r="F25" s="24">
        <f t="shared" si="19"/>
        <v>18</v>
      </c>
      <c r="G25" s="24">
        <f t="shared" si="19"/>
        <v>3.7199999999999984</v>
      </c>
      <c r="H25" s="24">
        <f t="shared" si="19"/>
        <v>10.56</v>
      </c>
      <c r="I25" s="24">
        <f t="shared" si="19"/>
        <v>45.360000000000007</v>
      </c>
      <c r="J25" s="24">
        <f t="shared" si="19"/>
        <v>59.640000000000008</v>
      </c>
      <c r="L25" s="10" t="s">
        <v>12</v>
      </c>
      <c r="M25" s="47">
        <f>SUM(M11:M24)</f>
        <v>1.486</v>
      </c>
      <c r="N25" s="12">
        <f>SUM(N11:N24)</f>
        <v>8.1730000000000011E-2</v>
      </c>
      <c r="O25" s="12"/>
      <c r="P25" s="12"/>
      <c r="Q25" s="12"/>
      <c r="R25" s="11">
        <f t="shared" ref="R25:V25" si="20">SUM(R11:R24)</f>
        <v>4.9038000000000013</v>
      </c>
      <c r="S25" s="11">
        <f t="shared" si="20"/>
        <v>7.1208500000000008</v>
      </c>
      <c r="T25" s="11">
        <f t="shared" si="20"/>
        <v>6.3855000000000004</v>
      </c>
      <c r="U25" s="11">
        <f t="shared" si="20"/>
        <v>18.410149999999998</v>
      </c>
      <c r="V25" s="11">
        <f t="shared" si="20"/>
        <v>78.050150000000002</v>
      </c>
    </row>
    <row r="27" spans="1:22" x14ac:dyDescent="0.25">
      <c r="A27" s="43" t="s">
        <v>56</v>
      </c>
      <c r="B27" s="1"/>
      <c r="C27" s="1"/>
      <c r="D27" s="1"/>
      <c r="E27" s="36">
        <f>V25/B25</f>
        <v>6.5041791666666668</v>
      </c>
      <c r="F27" s="1" t="s">
        <v>33</v>
      </c>
    </row>
    <row r="29" spans="1:22" ht="30" customHeight="1" x14ac:dyDescent="0.25">
      <c r="A29" s="69" t="s">
        <v>40</v>
      </c>
      <c r="B29" s="70"/>
      <c r="C29" s="70"/>
      <c r="D29" s="70"/>
      <c r="E29" s="70"/>
      <c r="F29" s="70"/>
      <c r="G29" s="70"/>
      <c r="H29" s="70"/>
      <c r="I29" s="70"/>
      <c r="J29" s="70"/>
      <c r="K29" s="70"/>
      <c r="L29" s="70"/>
      <c r="M29" s="70"/>
      <c r="N29" s="70"/>
      <c r="O29" s="70"/>
      <c r="P29" s="70"/>
      <c r="Q29" s="70"/>
      <c r="R29" s="70"/>
      <c r="S29" s="70"/>
      <c r="T29" s="70"/>
      <c r="U29" s="70"/>
      <c r="V29" s="71"/>
    </row>
    <row r="31" spans="1:22" x14ac:dyDescent="0.25">
      <c r="A31" s="44" t="s">
        <v>69</v>
      </c>
      <c r="D31" s="44"/>
    </row>
    <row r="34" spans="1:1" x14ac:dyDescent="0.25">
      <c r="A34" s="44" t="s">
        <v>70</v>
      </c>
    </row>
    <row r="35" spans="1:1" x14ac:dyDescent="0.25">
      <c r="A35" s="44" t="s">
        <v>57</v>
      </c>
    </row>
    <row r="36" spans="1:1" x14ac:dyDescent="0.25">
      <c r="A36" s="44" t="s">
        <v>60</v>
      </c>
    </row>
    <row r="37" spans="1:1" x14ac:dyDescent="0.25">
      <c r="A37" s="44" t="s">
        <v>61</v>
      </c>
    </row>
    <row r="38" spans="1:1" x14ac:dyDescent="0.25">
      <c r="A38" s="44" t="s">
        <v>58</v>
      </c>
    </row>
    <row r="40" spans="1:1" x14ac:dyDescent="0.25">
      <c r="A40" s="44" t="s">
        <v>62</v>
      </c>
    </row>
    <row r="41" spans="1:1" x14ac:dyDescent="0.25">
      <c r="A41" s="44" t="s">
        <v>63</v>
      </c>
    </row>
    <row r="42" spans="1:1" x14ac:dyDescent="0.25">
      <c r="A42" s="44" t="s">
        <v>60</v>
      </c>
    </row>
    <row r="43" spans="1:1" x14ac:dyDescent="0.25">
      <c r="A43" s="44" t="s">
        <v>61</v>
      </c>
    </row>
    <row r="44" spans="1:1" x14ac:dyDescent="0.25">
      <c r="A44" s="44" t="s">
        <v>64</v>
      </c>
    </row>
  </sheetData>
  <mergeCells count="28">
    <mergeCell ref="O9:O10"/>
    <mergeCell ref="P9:Q9"/>
    <mergeCell ref="R9:R10"/>
    <mergeCell ref="S9:T9"/>
    <mergeCell ref="U9:U10"/>
    <mergeCell ref="A29:V29"/>
    <mergeCell ref="M8:M10"/>
    <mergeCell ref="N8:N10"/>
    <mergeCell ref="O8:Q8"/>
    <mergeCell ref="R8:U8"/>
    <mergeCell ref="V8:V10"/>
    <mergeCell ref="D9:D10"/>
    <mergeCell ref="E9:F9"/>
    <mergeCell ref="G9:G10"/>
    <mergeCell ref="H9:I9"/>
    <mergeCell ref="J9:J10"/>
    <mergeCell ref="A8:A10"/>
    <mergeCell ref="B8:B10"/>
    <mergeCell ref="C8:C10"/>
    <mergeCell ref="D8:F8"/>
    <mergeCell ref="G8:J8"/>
    <mergeCell ref="L8:L10"/>
    <mergeCell ref="A1:E1"/>
    <mergeCell ref="A3:D3"/>
    <mergeCell ref="H3:K3"/>
    <mergeCell ref="A4:D4"/>
    <mergeCell ref="A5:D5"/>
    <mergeCell ref="A6:D6"/>
  </mergeCells>
  <phoneticPr fontId="8"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EE422-CF79-4B4B-B136-51F6FD3D6866}">
  <dimension ref="A1:V41"/>
  <sheetViews>
    <sheetView workbookViewId="0">
      <selection activeCell="Q32" sqref="Q32"/>
    </sheetView>
  </sheetViews>
  <sheetFormatPr defaultColWidth="11.5703125" defaultRowHeight="15" x14ac:dyDescent="0.25"/>
  <cols>
    <col min="1" max="1" width="5.7109375" customWidth="1"/>
    <col min="2" max="2" width="5" customWidth="1"/>
    <col min="3" max="3" width="9.7109375" customWidth="1"/>
    <col min="4" max="4" width="14.28515625" customWidth="1"/>
    <col min="5" max="5" width="11.28515625" style="37" customWidth="1"/>
    <col min="6" max="6" width="13.140625" customWidth="1"/>
    <col min="7" max="7" width="12.7109375" customWidth="1"/>
    <col min="8" max="8" width="7.7109375" customWidth="1"/>
    <col min="9" max="9" width="12.28515625" customWidth="1"/>
    <col min="10" max="10" width="7.7109375" customWidth="1"/>
    <col min="11" max="11" width="1" customWidth="1"/>
    <col min="12" max="12" width="5.140625" customWidth="1"/>
    <col min="13" max="13" width="7.7109375" customWidth="1"/>
    <col min="14" max="14" width="19.5703125" customWidth="1"/>
    <col min="15" max="15" width="11.7109375" customWidth="1"/>
    <col min="16" max="16" width="7.7109375" customWidth="1"/>
    <col min="17" max="17" width="15.5703125" customWidth="1"/>
    <col min="18" max="18" width="13.42578125" customWidth="1"/>
    <col min="19" max="19" width="7.7109375" customWidth="1"/>
    <col min="20" max="20" width="12.28515625" customWidth="1"/>
    <col min="21" max="22" width="7.7109375" customWidth="1"/>
  </cols>
  <sheetData>
    <row r="1" spans="1:22" x14ac:dyDescent="0.25">
      <c r="A1" s="64" t="s">
        <v>24</v>
      </c>
      <c r="B1" s="64"/>
      <c r="C1" s="64"/>
      <c r="D1" s="64"/>
      <c r="E1" s="64"/>
    </row>
    <row r="2" spans="1:22" x14ac:dyDescent="0.25">
      <c r="A2" s="32" t="s">
        <v>76</v>
      </c>
      <c r="B2" s="31"/>
      <c r="C2" s="31"/>
      <c r="D2" s="31"/>
      <c r="E2" s="33">
        <v>5.5</v>
      </c>
      <c r="I2" s="32" t="s">
        <v>52</v>
      </c>
      <c r="J2" s="31"/>
      <c r="K2" s="31"/>
      <c r="L2" s="31"/>
      <c r="M2" s="33">
        <v>5.5</v>
      </c>
    </row>
    <row r="3" spans="1:22" ht="15" customHeight="1" x14ac:dyDescent="0.25">
      <c r="A3" s="65" t="s">
        <v>53</v>
      </c>
      <c r="B3" s="66"/>
      <c r="C3" s="66"/>
      <c r="D3" s="66"/>
      <c r="E3" s="33">
        <v>0.6</v>
      </c>
      <c r="I3" s="65" t="s">
        <v>59</v>
      </c>
      <c r="J3" s="66"/>
      <c r="K3" s="66"/>
      <c r="L3" s="66"/>
      <c r="M3" s="21">
        <v>7</v>
      </c>
    </row>
    <row r="4" spans="1:22" ht="30" customHeight="1" x14ac:dyDescent="0.25">
      <c r="A4" s="67" t="s">
        <v>54</v>
      </c>
      <c r="B4" s="68"/>
      <c r="C4" s="68"/>
      <c r="D4" s="68"/>
      <c r="E4" s="21">
        <v>5</v>
      </c>
    </row>
    <row r="5" spans="1:22" ht="30" customHeight="1" x14ac:dyDescent="0.25">
      <c r="A5" s="67" t="s">
        <v>55</v>
      </c>
      <c r="B5" s="68"/>
      <c r="C5" s="68"/>
      <c r="D5" s="68"/>
      <c r="E5" s="21">
        <v>55</v>
      </c>
    </row>
    <row r="6" spans="1:22" x14ac:dyDescent="0.25">
      <c r="A6" s="65" t="s">
        <v>59</v>
      </c>
      <c r="B6" s="66"/>
      <c r="C6" s="66"/>
      <c r="D6" s="66"/>
      <c r="E6" s="21">
        <v>9</v>
      </c>
    </row>
    <row r="8" spans="1:22" ht="15" customHeight="1" x14ac:dyDescent="0.25">
      <c r="A8" s="73" t="s">
        <v>41</v>
      </c>
      <c r="B8" s="73" t="s">
        <v>42</v>
      </c>
      <c r="C8" s="73" t="s">
        <v>43</v>
      </c>
      <c r="D8" s="79" t="s">
        <v>27</v>
      </c>
      <c r="E8" s="79"/>
      <c r="F8" s="79"/>
      <c r="G8" s="79" t="s">
        <v>26</v>
      </c>
      <c r="H8" s="79"/>
      <c r="I8" s="79"/>
      <c r="J8" s="79"/>
      <c r="L8" s="61" t="s">
        <v>50</v>
      </c>
      <c r="M8" s="61" t="s">
        <v>51</v>
      </c>
      <c r="N8" s="61" t="s">
        <v>43</v>
      </c>
      <c r="O8" s="72" t="s">
        <v>27</v>
      </c>
      <c r="P8" s="72"/>
      <c r="Q8" s="72"/>
      <c r="R8" s="72" t="s">
        <v>26</v>
      </c>
      <c r="S8" s="72"/>
      <c r="T8" s="72"/>
      <c r="U8" s="72"/>
      <c r="V8" s="72" t="s">
        <v>32</v>
      </c>
    </row>
    <row r="9" spans="1:22" ht="15" customHeight="1" x14ac:dyDescent="0.25">
      <c r="A9" s="78"/>
      <c r="B9" s="78"/>
      <c r="C9" s="78"/>
      <c r="D9" s="73" t="s">
        <v>46</v>
      </c>
      <c r="E9" s="75" t="s">
        <v>47</v>
      </c>
      <c r="F9" s="76"/>
      <c r="G9" s="73" t="s">
        <v>49</v>
      </c>
      <c r="H9" s="75" t="s">
        <v>48</v>
      </c>
      <c r="I9" s="76"/>
      <c r="J9" s="77" t="s">
        <v>12</v>
      </c>
      <c r="L9" s="62"/>
      <c r="M9" s="62"/>
      <c r="N9" s="62"/>
      <c r="O9" s="73" t="s">
        <v>46</v>
      </c>
      <c r="P9" s="75" t="s">
        <v>47</v>
      </c>
      <c r="Q9" s="76"/>
      <c r="R9" s="73" t="s">
        <v>49</v>
      </c>
      <c r="S9" s="75" t="s">
        <v>48</v>
      </c>
      <c r="T9" s="76"/>
      <c r="U9" s="80" t="s">
        <v>12</v>
      </c>
      <c r="V9" s="72"/>
    </row>
    <row r="10" spans="1:22" x14ac:dyDescent="0.25">
      <c r="A10" s="74"/>
      <c r="B10" s="74"/>
      <c r="C10" s="74"/>
      <c r="D10" s="74"/>
      <c r="E10" s="38" t="s">
        <v>44</v>
      </c>
      <c r="F10" s="38" t="s">
        <v>45</v>
      </c>
      <c r="G10" s="74"/>
      <c r="H10" s="38" t="s">
        <v>44</v>
      </c>
      <c r="I10" s="38" t="s">
        <v>45</v>
      </c>
      <c r="J10" s="74"/>
      <c r="L10" s="63"/>
      <c r="M10" s="63"/>
      <c r="N10" s="63"/>
      <c r="O10" s="74"/>
      <c r="P10" s="38" t="s">
        <v>44</v>
      </c>
      <c r="Q10" s="38" t="s">
        <v>45</v>
      </c>
      <c r="R10" s="74"/>
      <c r="S10" s="38" t="s">
        <v>44</v>
      </c>
      <c r="T10" s="38" t="s">
        <v>45</v>
      </c>
      <c r="U10" s="63"/>
      <c r="V10" s="72"/>
    </row>
    <row r="11" spans="1:22" x14ac:dyDescent="0.25">
      <c r="A11" s="35" t="s">
        <v>14</v>
      </c>
      <c r="B11" s="23">
        <v>1</v>
      </c>
      <c r="C11" s="23">
        <f>1*$E$3/100</f>
        <v>6.0000000000000001E-3</v>
      </c>
      <c r="D11" s="35">
        <f>$B$22</f>
        <v>11</v>
      </c>
      <c r="E11" s="34">
        <v>5</v>
      </c>
      <c r="F11" s="34">
        <v>1</v>
      </c>
      <c r="G11" s="39">
        <f t="shared" ref="G11:G21" si="0">D11*$E$4*$C11</f>
        <v>0.33</v>
      </c>
      <c r="H11" s="39">
        <f>E11*$E$5*$C11</f>
        <v>1.6500000000000001</v>
      </c>
      <c r="I11" s="39">
        <f t="shared" ref="I11:I21" si="1">F11*($M$3*60)*$C11</f>
        <v>2.52</v>
      </c>
      <c r="J11" s="39">
        <f>G11+H11+I11</f>
        <v>4.5</v>
      </c>
      <c r="L11" s="42" t="s">
        <v>1</v>
      </c>
      <c r="M11" s="48">
        <v>4.5999999999999999E-2</v>
      </c>
      <c r="N11" s="8">
        <f>M11*$M$2/100</f>
        <v>2.5300000000000001E-3</v>
      </c>
      <c r="O11" s="9">
        <f t="shared" ref="O11:O19" si="2">$B$22</f>
        <v>11</v>
      </c>
      <c r="P11" s="15">
        <v>5</v>
      </c>
      <c r="Q11" s="41">
        <v>0</v>
      </c>
      <c r="R11" s="7">
        <f>O11*$E$4*$N11</f>
        <v>0.13915</v>
      </c>
      <c r="S11" s="7">
        <f>P11*$E$5*$N11</f>
        <v>0.69575000000000009</v>
      </c>
      <c r="T11" s="7">
        <f>Q11*($E$6*60)*$N11</f>
        <v>0</v>
      </c>
      <c r="U11" s="7">
        <f>R11+S11+T11</f>
        <v>0.83490000000000009</v>
      </c>
      <c r="V11" s="7">
        <f>J11+U11</f>
        <v>5.3349000000000002</v>
      </c>
    </row>
    <row r="12" spans="1:22" x14ac:dyDescent="0.25">
      <c r="A12" s="35" t="s">
        <v>15</v>
      </c>
      <c r="B12" s="23">
        <v>2</v>
      </c>
      <c r="C12" s="23">
        <f t="shared" ref="C12:C21" si="3">1*$E$3/100</f>
        <v>6.0000000000000001E-3</v>
      </c>
      <c r="D12" s="35">
        <f t="shared" ref="D12:D16" si="4">$B$22</f>
        <v>11</v>
      </c>
      <c r="E12" s="34">
        <v>5</v>
      </c>
      <c r="F12" s="34">
        <v>2</v>
      </c>
      <c r="G12" s="39">
        <f t="shared" si="0"/>
        <v>0.33</v>
      </c>
      <c r="H12" s="39">
        <f t="shared" ref="H12:H21" si="5">E12*$E$5*$C12</f>
        <v>1.6500000000000001</v>
      </c>
      <c r="I12" s="39">
        <f t="shared" si="1"/>
        <v>5.04</v>
      </c>
      <c r="J12" s="39">
        <f t="shared" ref="J12:J21" si="6">G12+H12+I12</f>
        <v>7.0200000000000005</v>
      </c>
      <c r="L12" s="42" t="s">
        <v>2</v>
      </c>
      <c r="M12" s="48">
        <v>0.02</v>
      </c>
      <c r="N12" s="8">
        <f>M12*$E$2/100</f>
        <v>1.1000000000000001E-3</v>
      </c>
      <c r="O12" s="9">
        <f t="shared" si="2"/>
        <v>11</v>
      </c>
      <c r="P12" s="15">
        <v>5</v>
      </c>
      <c r="Q12" s="41">
        <v>0</v>
      </c>
      <c r="R12" s="7">
        <f t="shared" ref="R12:R21" si="7">O12*$E$4*$N12</f>
        <v>6.0500000000000005E-2</v>
      </c>
      <c r="S12" s="7">
        <f t="shared" ref="S12:S21" si="8">P12*$E$5*$N12</f>
        <v>0.30249999999999999</v>
      </c>
      <c r="T12" s="7">
        <f t="shared" ref="T12:T21" si="9">Q12*($E$6*60)*$N12</f>
        <v>0</v>
      </c>
      <c r="U12" s="7">
        <f t="shared" ref="U12:U21" si="10">R12+S12+T12</f>
        <v>0.36299999999999999</v>
      </c>
      <c r="V12" s="7">
        <f t="shared" ref="V12:V21" si="11">J12+U12</f>
        <v>7.3830000000000009</v>
      </c>
    </row>
    <row r="13" spans="1:22" x14ac:dyDescent="0.25">
      <c r="A13" s="35" t="s">
        <v>16</v>
      </c>
      <c r="B13" s="23">
        <v>0</v>
      </c>
      <c r="C13" s="23">
        <f t="shared" si="3"/>
        <v>6.0000000000000001E-3</v>
      </c>
      <c r="D13" s="35">
        <v>11</v>
      </c>
      <c r="E13" s="34">
        <v>5</v>
      </c>
      <c r="F13" s="34">
        <v>2</v>
      </c>
      <c r="G13" s="39">
        <f t="shared" si="0"/>
        <v>0.33</v>
      </c>
      <c r="H13" s="39">
        <f t="shared" si="5"/>
        <v>1.6500000000000001</v>
      </c>
      <c r="I13" s="39">
        <f t="shared" si="1"/>
        <v>5.04</v>
      </c>
      <c r="J13" s="39">
        <f t="shared" si="6"/>
        <v>7.0200000000000005</v>
      </c>
      <c r="L13" s="42" t="s">
        <v>3</v>
      </c>
      <c r="M13" s="48">
        <v>1.1559999999999999</v>
      </c>
      <c r="N13" s="8">
        <f t="shared" ref="N13:N18" si="12">M13*$E$2/100</f>
        <v>6.3579999999999998E-2</v>
      </c>
      <c r="O13" s="9">
        <f t="shared" si="2"/>
        <v>11</v>
      </c>
      <c r="P13" s="15">
        <v>5</v>
      </c>
      <c r="Q13" s="41">
        <v>0</v>
      </c>
      <c r="R13" s="7">
        <f t="shared" si="7"/>
        <v>3.4968999999999997</v>
      </c>
      <c r="S13" s="7">
        <f t="shared" si="8"/>
        <v>17.484500000000001</v>
      </c>
      <c r="T13" s="7">
        <f t="shared" si="9"/>
        <v>0</v>
      </c>
      <c r="U13" s="7">
        <f t="shared" si="10"/>
        <v>20.981400000000001</v>
      </c>
      <c r="V13" s="7">
        <f t="shared" si="11"/>
        <v>28.0014</v>
      </c>
    </row>
    <row r="14" spans="1:22" x14ac:dyDescent="0.25">
      <c r="A14" s="49" t="s">
        <v>17</v>
      </c>
      <c r="B14" s="23">
        <v>1</v>
      </c>
      <c r="C14" s="23">
        <f t="shared" si="3"/>
        <v>6.0000000000000001E-3</v>
      </c>
      <c r="D14" s="35">
        <v>1</v>
      </c>
      <c r="E14" s="34">
        <v>1</v>
      </c>
      <c r="F14" s="34">
        <v>1</v>
      </c>
      <c r="G14" s="39">
        <f t="shared" si="0"/>
        <v>0.03</v>
      </c>
      <c r="H14" s="39">
        <f t="shared" si="5"/>
        <v>0.33</v>
      </c>
      <c r="I14" s="39">
        <f t="shared" si="1"/>
        <v>2.52</v>
      </c>
      <c r="J14" s="39">
        <f t="shared" si="6"/>
        <v>2.88</v>
      </c>
      <c r="L14" s="42" t="s">
        <v>4</v>
      </c>
      <c r="M14" s="48">
        <v>3.1E-2</v>
      </c>
      <c r="N14" s="8">
        <f t="shared" si="12"/>
        <v>1.7049999999999999E-3</v>
      </c>
      <c r="O14" s="9">
        <f t="shared" si="2"/>
        <v>11</v>
      </c>
      <c r="P14" s="15">
        <v>5</v>
      </c>
      <c r="Q14" s="41">
        <v>1</v>
      </c>
      <c r="R14" s="7">
        <f t="shared" si="7"/>
        <v>9.3774999999999997E-2</v>
      </c>
      <c r="S14" s="7">
        <f t="shared" si="8"/>
        <v>0.46887499999999999</v>
      </c>
      <c r="T14" s="7">
        <f t="shared" si="9"/>
        <v>0.92069999999999996</v>
      </c>
      <c r="U14" s="7">
        <f t="shared" si="10"/>
        <v>1.4833499999999999</v>
      </c>
      <c r="V14" s="7">
        <f t="shared" si="11"/>
        <v>4.3633499999999996</v>
      </c>
    </row>
    <row r="15" spans="1:22" x14ac:dyDescent="0.25">
      <c r="A15" s="49" t="s">
        <v>18</v>
      </c>
      <c r="B15" s="23">
        <v>1</v>
      </c>
      <c r="C15" s="23">
        <f t="shared" si="3"/>
        <v>6.0000000000000001E-3</v>
      </c>
      <c r="D15" s="35">
        <v>1</v>
      </c>
      <c r="E15" s="34">
        <v>1</v>
      </c>
      <c r="F15" s="34">
        <v>1</v>
      </c>
      <c r="G15" s="39">
        <f t="shared" si="0"/>
        <v>0.03</v>
      </c>
      <c r="H15" s="39">
        <f t="shared" si="5"/>
        <v>0.33</v>
      </c>
      <c r="I15" s="39">
        <f t="shared" si="1"/>
        <v>2.52</v>
      </c>
      <c r="J15" s="39">
        <f t="shared" si="6"/>
        <v>2.88</v>
      </c>
      <c r="L15" s="42" t="s">
        <v>5</v>
      </c>
      <c r="M15" s="48">
        <v>8.5999999999999993E-2</v>
      </c>
      <c r="N15" s="8">
        <f t="shared" si="12"/>
        <v>4.7299999999999998E-3</v>
      </c>
      <c r="O15" s="9">
        <f t="shared" si="2"/>
        <v>11</v>
      </c>
      <c r="P15" s="15">
        <v>5</v>
      </c>
      <c r="Q15" s="41">
        <v>1</v>
      </c>
      <c r="R15" s="7">
        <f t="shared" si="7"/>
        <v>0.26014999999999999</v>
      </c>
      <c r="S15" s="7">
        <f t="shared" si="8"/>
        <v>1.3007499999999999</v>
      </c>
      <c r="T15" s="7">
        <f t="shared" si="9"/>
        <v>2.5541999999999998</v>
      </c>
      <c r="U15" s="7">
        <f t="shared" si="10"/>
        <v>4.1151</v>
      </c>
      <c r="V15" s="7">
        <f t="shared" si="11"/>
        <v>6.9950999999999999</v>
      </c>
    </row>
    <row r="16" spans="1:22" x14ac:dyDescent="0.25">
      <c r="A16" s="35" t="s">
        <v>19</v>
      </c>
      <c r="B16" s="23">
        <v>1</v>
      </c>
      <c r="C16" s="23">
        <f t="shared" si="3"/>
        <v>6.0000000000000001E-3</v>
      </c>
      <c r="D16" s="35">
        <f t="shared" si="4"/>
        <v>11</v>
      </c>
      <c r="E16" s="34">
        <v>7</v>
      </c>
      <c r="F16" s="34">
        <v>2</v>
      </c>
      <c r="G16" s="39">
        <f t="shared" si="0"/>
        <v>0.33</v>
      </c>
      <c r="H16" s="39">
        <f t="shared" si="5"/>
        <v>2.31</v>
      </c>
      <c r="I16" s="39">
        <f t="shared" si="1"/>
        <v>5.04</v>
      </c>
      <c r="J16" s="39">
        <f t="shared" si="6"/>
        <v>7.68</v>
      </c>
      <c r="L16" s="42" t="s">
        <v>6</v>
      </c>
      <c r="M16" s="48">
        <v>3.7999999999999999E-2</v>
      </c>
      <c r="N16" s="8">
        <f t="shared" si="12"/>
        <v>2.0899999999999998E-3</v>
      </c>
      <c r="O16" s="9">
        <f t="shared" si="2"/>
        <v>11</v>
      </c>
      <c r="P16" s="15">
        <v>5</v>
      </c>
      <c r="Q16" s="41">
        <v>0</v>
      </c>
      <c r="R16" s="7">
        <f t="shared" si="7"/>
        <v>0.11495</v>
      </c>
      <c r="S16" s="7">
        <f t="shared" si="8"/>
        <v>0.57474999999999998</v>
      </c>
      <c r="T16" s="7">
        <f t="shared" si="9"/>
        <v>0</v>
      </c>
      <c r="U16" s="7">
        <f t="shared" si="10"/>
        <v>0.68969999999999998</v>
      </c>
      <c r="V16" s="7">
        <f t="shared" si="11"/>
        <v>8.3696999999999999</v>
      </c>
    </row>
    <row r="17" spans="1:22" x14ac:dyDescent="0.25">
      <c r="A17" s="49" t="s">
        <v>20</v>
      </c>
      <c r="B17" s="23">
        <v>1</v>
      </c>
      <c r="C17" s="23">
        <f t="shared" si="3"/>
        <v>6.0000000000000001E-3</v>
      </c>
      <c r="D17" s="35">
        <v>11</v>
      </c>
      <c r="E17" s="34">
        <v>1</v>
      </c>
      <c r="F17" s="34">
        <v>1</v>
      </c>
      <c r="G17" s="39">
        <f t="shared" si="0"/>
        <v>0.33</v>
      </c>
      <c r="H17" s="39">
        <f t="shared" si="5"/>
        <v>0.33</v>
      </c>
      <c r="I17" s="39">
        <f t="shared" si="1"/>
        <v>2.52</v>
      </c>
      <c r="J17" s="39">
        <f t="shared" si="6"/>
        <v>3.18</v>
      </c>
      <c r="L17" s="42" t="s">
        <v>7</v>
      </c>
      <c r="M17" s="48">
        <v>1.6E-2</v>
      </c>
      <c r="N17" s="8">
        <f t="shared" si="12"/>
        <v>8.7999999999999992E-4</v>
      </c>
      <c r="O17" s="9">
        <f t="shared" si="2"/>
        <v>11</v>
      </c>
      <c r="P17" s="15">
        <v>1</v>
      </c>
      <c r="Q17" s="41">
        <v>1</v>
      </c>
      <c r="R17" s="7">
        <f t="shared" si="7"/>
        <v>4.8399999999999999E-2</v>
      </c>
      <c r="S17" s="7">
        <f t="shared" si="8"/>
        <v>4.8399999999999999E-2</v>
      </c>
      <c r="T17" s="7">
        <f t="shared" si="9"/>
        <v>0.47519999999999996</v>
      </c>
      <c r="U17" s="7">
        <f t="shared" si="10"/>
        <v>0.57199999999999995</v>
      </c>
      <c r="V17" s="7">
        <f t="shared" si="11"/>
        <v>3.7520000000000002</v>
      </c>
    </row>
    <row r="18" spans="1:22" x14ac:dyDescent="0.25">
      <c r="A18" s="35" t="s">
        <v>21</v>
      </c>
      <c r="B18" s="23">
        <v>1</v>
      </c>
      <c r="C18" s="23">
        <f t="shared" si="3"/>
        <v>6.0000000000000001E-3</v>
      </c>
      <c r="D18" s="35">
        <v>11</v>
      </c>
      <c r="E18" s="34">
        <v>4</v>
      </c>
      <c r="F18" s="34">
        <v>1</v>
      </c>
      <c r="G18" s="39">
        <f t="shared" si="0"/>
        <v>0.33</v>
      </c>
      <c r="H18" s="39">
        <f t="shared" si="5"/>
        <v>1.32</v>
      </c>
      <c r="I18" s="39">
        <f t="shared" si="1"/>
        <v>2.52</v>
      </c>
      <c r="J18" s="39">
        <f t="shared" si="6"/>
        <v>4.17</v>
      </c>
      <c r="L18" s="42" t="s">
        <v>8</v>
      </c>
      <c r="M18" s="48">
        <v>0.20200000000000001</v>
      </c>
      <c r="N18" s="8">
        <f t="shared" si="12"/>
        <v>1.111E-2</v>
      </c>
      <c r="O18" s="9">
        <f t="shared" si="2"/>
        <v>11</v>
      </c>
      <c r="P18" s="15">
        <v>0</v>
      </c>
      <c r="Q18" s="41">
        <v>0</v>
      </c>
      <c r="R18" s="7">
        <f t="shared" si="7"/>
        <v>0.61104999999999998</v>
      </c>
      <c r="S18" s="7">
        <f t="shared" si="8"/>
        <v>0</v>
      </c>
      <c r="T18" s="7">
        <f t="shared" si="9"/>
        <v>0</v>
      </c>
      <c r="U18" s="7">
        <f t="shared" si="10"/>
        <v>0.61104999999999998</v>
      </c>
      <c r="V18" s="7">
        <f t="shared" si="11"/>
        <v>4.7810499999999996</v>
      </c>
    </row>
    <row r="19" spans="1:22" x14ac:dyDescent="0.25">
      <c r="A19" s="35" t="s">
        <v>22</v>
      </c>
      <c r="B19" s="23">
        <v>1</v>
      </c>
      <c r="C19" s="23">
        <f t="shared" si="3"/>
        <v>6.0000000000000001E-3</v>
      </c>
      <c r="D19" s="35">
        <v>11</v>
      </c>
      <c r="E19" s="34">
        <v>3</v>
      </c>
      <c r="F19" s="34">
        <v>1</v>
      </c>
      <c r="G19" s="39">
        <f t="shared" si="0"/>
        <v>0.33</v>
      </c>
      <c r="H19" s="39">
        <f t="shared" si="5"/>
        <v>0.99</v>
      </c>
      <c r="I19" s="39">
        <f t="shared" si="1"/>
        <v>2.52</v>
      </c>
      <c r="J19" s="39">
        <f t="shared" si="6"/>
        <v>3.84</v>
      </c>
      <c r="L19" s="42" t="s">
        <v>9</v>
      </c>
      <c r="M19" s="48">
        <v>2.3E-2</v>
      </c>
      <c r="N19" s="8">
        <f>M19*$M$2/100</f>
        <v>1.2650000000000001E-3</v>
      </c>
      <c r="O19" s="9">
        <f t="shared" si="2"/>
        <v>11</v>
      </c>
      <c r="P19" s="15">
        <v>3</v>
      </c>
      <c r="Q19" s="41">
        <v>0</v>
      </c>
      <c r="R19" s="7">
        <f t="shared" si="7"/>
        <v>6.9574999999999998E-2</v>
      </c>
      <c r="S19" s="7">
        <f t="shared" si="8"/>
        <v>0.20872500000000002</v>
      </c>
      <c r="T19" s="7">
        <f t="shared" si="9"/>
        <v>0</v>
      </c>
      <c r="U19" s="7">
        <f t="shared" si="10"/>
        <v>0.27829999999999999</v>
      </c>
      <c r="V19" s="7">
        <f t="shared" si="11"/>
        <v>4.1182999999999996</v>
      </c>
    </row>
    <row r="20" spans="1:22" x14ac:dyDescent="0.25">
      <c r="A20" s="35" t="s">
        <v>23</v>
      </c>
      <c r="B20" s="23">
        <v>1</v>
      </c>
      <c r="C20" s="23">
        <f t="shared" si="3"/>
        <v>6.0000000000000001E-3</v>
      </c>
      <c r="D20" s="35">
        <v>11</v>
      </c>
      <c r="E20" s="34">
        <v>3</v>
      </c>
      <c r="F20" s="34">
        <v>2</v>
      </c>
      <c r="G20" s="39">
        <f t="shared" si="0"/>
        <v>0.33</v>
      </c>
      <c r="H20" s="39">
        <f t="shared" si="5"/>
        <v>0.99</v>
      </c>
      <c r="I20" s="39">
        <f t="shared" si="1"/>
        <v>5.04</v>
      </c>
      <c r="J20" s="39">
        <f t="shared" si="6"/>
        <v>6.36</v>
      </c>
      <c r="L20" s="42" t="s">
        <v>10</v>
      </c>
      <c r="M20" s="48">
        <v>3.1E-2</v>
      </c>
      <c r="N20" s="8">
        <f t="shared" ref="N20:N21" si="13">M20*$M$2/100</f>
        <v>1.7049999999999999E-3</v>
      </c>
      <c r="O20" s="9">
        <v>11</v>
      </c>
      <c r="P20" s="15">
        <v>3</v>
      </c>
      <c r="Q20" s="41">
        <v>0</v>
      </c>
      <c r="R20" s="7">
        <f t="shared" si="7"/>
        <v>9.3774999999999997E-2</v>
      </c>
      <c r="S20" s="7">
        <f t="shared" si="8"/>
        <v>0.28132499999999999</v>
      </c>
      <c r="T20" s="7">
        <f t="shared" si="9"/>
        <v>0</v>
      </c>
      <c r="U20" s="7">
        <f t="shared" si="10"/>
        <v>0.37509999999999999</v>
      </c>
      <c r="V20" s="7">
        <f t="shared" si="11"/>
        <v>6.7351000000000001</v>
      </c>
    </row>
    <row r="21" spans="1:22" x14ac:dyDescent="0.25">
      <c r="A21" s="49" t="s">
        <v>77</v>
      </c>
      <c r="B21" s="23">
        <v>1</v>
      </c>
      <c r="C21" s="23">
        <f t="shared" si="3"/>
        <v>6.0000000000000001E-3</v>
      </c>
      <c r="D21" s="35">
        <v>11</v>
      </c>
      <c r="E21" s="34">
        <v>1</v>
      </c>
      <c r="F21" s="34">
        <v>1</v>
      </c>
      <c r="G21" s="39">
        <f t="shared" si="0"/>
        <v>0.33</v>
      </c>
      <c r="H21" s="39">
        <f t="shared" si="5"/>
        <v>0.33</v>
      </c>
      <c r="I21" s="39">
        <f t="shared" si="1"/>
        <v>2.52</v>
      </c>
      <c r="J21" s="39">
        <f t="shared" si="6"/>
        <v>3.18</v>
      </c>
      <c r="L21" s="42" t="s">
        <v>78</v>
      </c>
      <c r="M21" s="48">
        <v>8.2000000000000003E-2</v>
      </c>
      <c r="N21" s="8">
        <f t="shared" si="13"/>
        <v>4.5100000000000001E-3</v>
      </c>
      <c r="O21" s="9">
        <v>11</v>
      </c>
      <c r="P21" s="15">
        <v>3</v>
      </c>
      <c r="Q21" s="41">
        <v>1</v>
      </c>
      <c r="R21" s="7">
        <f t="shared" si="7"/>
        <v>0.24804999999999999</v>
      </c>
      <c r="S21" s="7">
        <f t="shared" si="8"/>
        <v>0.74414999999999998</v>
      </c>
      <c r="T21" s="7">
        <f t="shared" si="9"/>
        <v>2.4354</v>
      </c>
      <c r="U21" s="7">
        <f t="shared" si="10"/>
        <v>3.4276</v>
      </c>
      <c r="V21" s="7">
        <f t="shared" si="11"/>
        <v>6.6075999999999997</v>
      </c>
    </row>
    <row r="22" spans="1:22" x14ac:dyDescent="0.25">
      <c r="A22" s="24" t="s">
        <v>12</v>
      </c>
      <c r="B22" s="24">
        <f>SUM(B11:B21)</f>
        <v>11</v>
      </c>
      <c r="C22" s="24">
        <f>SUM(C11:C20)</f>
        <v>5.9999999999999991E-2</v>
      </c>
      <c r="D22" s="24"/>
      <c r="E22" s="35"/>
      <c r="F22" s="35"/>
      <c r="G22" s="40">
        <f>SUM(G11:G21)</f>
        <v>3.0300000000000002</v>
      </c>
      <c r="H22" s="40">
        <f t="shared" ref="H22:J22" si="14">SUM(H11:H21)</f>
        <v>11.88</v>
      </c>
      <c r="I22" s="40">
        <f t="shared" si="14"/>
        <v>37.800000000000004</v>
      </c>
      <c r="J22" s="40">
        <f t="shared" si="14"/>
        <v>52.71</v>
      </c>
      <c r="L22" s="10" t="s">
        <v>12</v>
      </c>
      <c r="M22" s="47">
        <f>SUM(M11:M21)</f>
        <v>1.7309999999999999</v>
      </c>
      <c r="N22" s="12">
        <f>SUM(N11:N20)</f>
        <v>9.0694999999999984E-2</v>
      </c>
      <c r="O22" s="12"/>
      <c r="P22" s="12"/>
      <c r="Q22" s="12"/>
      <c r="R22" s="11">
        <f>SUM(R11:R21)</f>
        <v>5.236275</v>
      </c>
      <c r="S22" s="11">
        <f>SUM(S11:S21)</f>
        <v>22.109725000000005</v>
      </c>
      <c r="T22" s="11">
        <f>SUM(T11:T21)</f>
        <v>6.3855000000000004</v>
      </c>
      <c r="U22" s="11">
        <f>SUM(U11:U21)</f>
        <v>33.731500000000004</v>
      </c>
      <c r="V22" s="11">
        <f>SUM(V11:V21)</f>
        <v>86.441500000000005</v>
      </c>
    </row>
    <row r="24" spans="1:22" x14ac:dyDescent="0.25">
      <c r="A24" s="43" t="s">
        <v>56</v>
      </c>
      <c r="B24" s="1"/>
      <c r="C24" s="1"/>
      <c r="D24" s="1"/>
      <c r="E24" s="36">
        <f>V22/B22</f>
        <v>7.8583181818181824</v>
      </c>
      <c r="F24" s="1" t="s">
        <v>33</v>
      </c>
    </row>
    <row r="26" spans="1:22" ht="30" customHeight="1" x14ac:dyDescent="0.25">
      <c r="A26" s="69" t="s">
        <v>40</v>
      </c>
      <c r="B26" s="70"/>
      <c r="C26" s="70"/>
      <c r="D26" s="70"/>
      <c r="E26" s="70"/>
      <c r="F26" s="70"/>
      <c r="G26" s="70"/>
      <c r="H26" s="70"/>
      <c r="I26" s="70"/>
      <c r="J26" s="70"/>
      <c r="K26" s="70"/>
      <c r="L26" s="70"/>
      <c r="M26" s="70"/>
      <c r="N26" s="70"/>
      <c r="O26" s="70"/>
      <c r="P26" s="70"/>
      <c r="Q26" s="70"/>
      <c r="R26" s="70"/>
      <c r="S26" s="70"/>
      <c r="T26" s="70"/>
      <c r="U26" s="70"/>
      <c r="V26" s="71"/>
    </row>
    <row r="28" spans="1:22" x14ac:dyDescent="0.25">
      <c r="A28" s="44" t="s">
        <v>69</v>
      </c>
      <c r="D28" s="44"/>
    </row>
    <row r="31" spans="1:22" x14ac:dyDescent="0.25">
      <c r="A31" s="44" t="s">
        <v>70</v>
      </c>
    </row>
    <row r="32" spans="1:22" x14ac:dyDescent="0.25">
      <c r="A32" s="44" t="s">
        <v>57</v>
      </c>
    </row>
    <row r="33" spans="1:1" x14ac:dyDescent="0.25">
      <c r="A33" s="44" t="s">
        <v>60</v>
      </c>
    </row>
    <row r="34" spans="1:1" x14ac:dyDescent="0.25">
      <c r="A34" s="44" t="s">
        <v>61</v>
      </c>
    </row>
    <row r="35" spans="1:1" x14ac:dyDescent="0.25">
      <c r="A35" s="44" t="s">
        <v>58</v>
      </c>
    </row>
    <row r="37" spans="1:1" x14ac:dyDescent="0.25">
      <c r="A37" s="44" t="s">
        <v>62</v>
      </c>
    </row>
    <row r="38" spans="1:1" x14ac:dyDescent="0.25">
      <c r="A38" s="44" t="s">
        <v>63</v>
      </c>
    </row>
    <row r="39" spans="1:1" x14ac:dyDescent="0.25">
      <c r="A39" s="44" t="s">
        <v>60</v>
      </c>
    </row>
    <row r="40" spans="1:1" x14ac:dyDescent="0.25">
      <c r="A40" s="44" t="s">
        <v>61</v>
      </c>
    </row>
    <row r="41" spans="1:1" x14ac:dyDescent="0.25">
      <c r="A41" s="44" t="s">
        <v>64</v>
      </c>
    </row>
  </sheetData>
  <mergeCells count="28">
    <mergeCell ref="A1:E1"/>
    <mergeCell ref="A3:D3"/>
    <mergeCell ref="A4:D4"/>
    <mergeCell ref="A5:D5"/>
    <mergeCell ref="A6:D6"/>
    <mergeCell ref="U9:U10"/>
    <mergeCell ref="A26:V26"/>
    <mergeCell ref="M8:M10"/>
    <mergeCell ref="N8:N10"/>
    <mergeCell ref="O8:Q8"/>
    <mergeCell ref="R8:U8"/>
    <mergeCell ref="V8:V10"/>
    <mergeCell ref="D9:D10"/>
    <mergeCell ref="E9:F9"/>
    <mergeCell ref="G9:G10"/>
    <mergeCell ref="H9:I9"/>
    <mergeCell ref="J9:J10"/>
    <mergeCell ref="A8:A10"/>
    <mergeCell ref="B8:B10"/>
    <mergeCell ref="C8:C10"/>
    <mergeCell ref="D8:F8"/>
    <mergeCell ref="I3:L3"/>
    <mergeCell ref="O9:O10"/>
    <mergeCell ref="P9:Q9"/>
    <mergeCell ref="R9:R10"/>
    <mergeCell ref="S9:T9"/>
    <mergeCell ref="G8:J8"/>
    <mergeCell ref="L8:L10"/>
  </mergeCells>
  <phoneticPr fontId="8"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0"/>
  <sheetViews>
    <sheetView zoomScaleNormal="100" workbookViewId="0">
      <selection activeCell="A15" sqref="A15:XFD15"/>
    </sheetView>
  </sheetViews>
  <sheetFormatPr defaultColWidth="11.5703125" defaultRowHeight="15" x14ac:dyDescent="0.25"/>
  <cols>
    <col min="1" max="1" width="5.7109375" customWidth="1"/>
    <col min="2" max="2" width="5" customWidth="1"/>
    <col min="3" max="3" width="9.7109375" customWidth="1"/>
    <col min="4" max="4" width="14.28515625" customWidth="1"/>
    <col min="5" max="5" width="11.28515625" style="37" customWidth="1"/>
    <col min="6" max="6" width="13.140625" customWidth="1"/>
    <col min="7" max="7" width="12.7109375" customWidth="1"/>
    <col min="8" max="8" width="7.7109375" customWidth="1"/>
    <col min="9" max="9" width="12.28515625" customWidth="1"/>
    <col min="10" max="10" width="7.7109375" customWidth="1"/>
    <col min="11" max="11" width="1" customWidth="1"/>
    <col min="12" max="12" width="5.140625" customWidth="1"/>
    <col min="13" max="13" width="7.7109375" customWidth="1"/>
    <col min="14" max="14" width="9.7109375" customWidth="1"/>
    <col min="15" max="15" width="11.7109375" customWidth="1"/>
    <col min="16" max="16" width="7.7109375" customWidth="1"/>
    <col min="17" max="17" width="15.5703125" customWidth="1"/>
    <col min="18" max="18" width="11.28515625" customWidth="1"/>
    <col min="19" max="19" width="7.7109375" customWidth="1"/>
    <col min="20" max="20" width="12.28515625" customWidth="1"/>
    <col min="21" max="22" width="7.7109375" customWidth="1"/>
  </cols>
  <sheetData>
    <row r="1" spans="1:22" x14ac:dyDescent="0.25">
      <c r="A1" s="64" t="s">
        <v>24</v>
      </c>
      <c r="B1" s="64"/>
      <c r="C1" s="64"/>
      <c r="D1" s="64"/>
      <c r="E1" s="64"/>
    </row>
    <row r="2" spans="1:22" x14ac:dyDescent="0.25">
      <c r="A2" s="65" t="s">
        <v>52</v>
      </c>
      <c r="B2" s="66"/>
      <c r="C2" s="66"/>
      <c r="D2" s="66"/>
      <c r="E2" s="33">
        <v>5</v>
      </c>
    </row>
    <row r="3" spans="1:22" x14ac:dyDescent="0.25">
      <c r="A3" s="65" t="s">
        <v>53</v>
      </c>
      <c r="B3" s="66"/>
      <c r="C3" s="66"/>
      <c r="D3" s="66"/>
      <c r="E3" s="33">
        <v>0.6</v>
      </c>
    </row>
    <row r="4" spans="1:22" ht="30" customHeight="1" x14ac:dyDescent="0.25">
      <c r="A4" s="67" t="s">
        <v>54</v>
      </c>
      <c r="B4" s="68"/>
      <c r="C4" s="68"/>
      <c r="D4" s="68"/>
      <c r="E4" s="21">
        <v>5</v>
      </c>
    </row>
    <row r="5" spans="1:22" ht="30" customHeight="1" x14ac:dyDescent="0.25">
      <c r="A5" s="67" t="s">
        <v>55</v>
      </c>
      <c r="B5" s="68"/>
      <c r="C5" s="68"/>
      <c r="D5" s="68"/>
      <c r="E5" s="21">
        <v>55</v>
      </c>
    </row>
    <row r="6" spans="1:22" x14ac:dyDescent="0.25">
      <c r="A6" s="65" t="s">
        <v>59</v>
      </c>
      <c r="B6" s="66"/>
      <c r="C6" s="66"/>
      <c r="D6" s="66"/>
      <c r="E6" s="21">
        <v>9</v>
      </c>
    </row>
    <row r="8" spans="1:22" ht="15" customHeight="1" x14ac:dyDescent="0.25">
      <c r="A8" s="73" t="s">
        <v>41</v>
      </c>
      <c r="B8" s="73" t="s">
        <v>42</v>
      </c>
      <c r="C8" s="73" t="s">
        <v>43</v>
      </c>
      <c r="D8" s="79" t="s">
        <v>27</v>
      </c>
      <c r="E8" s="79"/>
      <c r="F8" s="79"/>
      <c r="G8" s="79" t="s">
        <v>26</v>
      </c>
      <c r="H8" s="79"/>
      <c r="I8" s="79"/>
      <c r="J8" s="79"/>
      <c r="L8" s="61" t="s">
        <v>50</v>
      </c>
      <c r="M8" s="61" t="s">
        <v>51</v>
      </c>
      <c r="N8" s="61" t="s">
        <v>43</v>
      </c>
      <c r="O8" s="72" t="s">
        <v>27</v>
      </c>
      <c r="P8" s="72"/>
      <c r="Q8" s="72"/>
      <c r="R8" s="72" t="s">
        <v>26</v>
      </c>
      <c r="S8" s="72"/>
      <c r="T8" s="72"/>
      <c r="U8" s="72"/>
      <c r="V8" s="72" t="s">
        <v>32</v>
      </c>
    </row>
    <row r="9" spans="1:22" ht="15" customHeight="1" x14ac:dyDescent="0.25">
      <c r="A9" s="78"/>
      <c r="B9" s="78"/>
      <c r="C9" s="78"/>
      <c r="D9" s="73" t="s">
        <v>46</v>
      </c>
      <c r="E9" s="75" t="s">
        <v>47</v>
      </c>
      <c r="F9" s="76"/>
      <c r="G9" s="73" t="s">
        <v>49</v>
      </c>
      <c r="H9" s="75" t="s">
        <v>48</v>
      </c>
      <c r="I9" s="76"/>
      <c r="J9" s="77" t="s">
        <v>12</v>
      </c>
      <c r="L9" s="62"/>
      <c r="M9" s="62"/>
      <c r="N9" s="62"/>
      <c r="O9" s="73" t="s">
        <v>46</v>
      </c>
      <c r="P9" s="75" t="s">
        <v>47</v>
      </c>
      <c r="Q9" s="76"/>
      <c r="R9" s="73" t="s">
        <v>49</v>
      </c>
      <c r="S9" s="75" t="s">
        <v>48</v>
      </c>
      <c r="T9" s="76"/>
      <c r="U9" s="80" t="s">
        <v>12</v>
      </c>
      <c r="V9" s="72"/>
    </row>
    <row r="10" spans="1:22" x14ac:dyDescent="0.25">
      <c r="A10" s="74"/>
      <c r="B10" s="74"/>
      <c r="C10" s="74"/>
      <c r="D10" s="74"/>
      <c r="E10" s="38" t="s">
        <v>44</v>
      </c>
      <c r="F10" s="38" t="s">
        <v>45</v>
      </c>
      <c r="G10" s="74"/>
      <c r="H10" s="38" t="s">
        <v>44</v>
      </c>
      <c r="I10" s="38" t="s">
        <v>45</v>
      </c>
      <c r="J10" s="74"/>
      <c r="L10" s="63"/>
      <c r="M10" s="63"/>
      <c r="N10" s="63"/>
      <c r="O10" s="74"/>
      <c r="P10" s="38" t="s">
        <v>44</v>
      </c>
      <c r="Q10" s="38" t="s">
        <v>45</v>
      </c>
      <c r="R10" s="74"/>
      <c r="S10" s="38" t="s">
        <v>44</v>
      </c>
      <c r="T10" s="38" t="s">
        <v>45</v>
      </c>
      <c r="U10" s="63"/>
      <c r="V10" s="72"/>
    </row>
    <row r="11" spans="1:22" x14ac:dyDescent="0.25">
      <c r="A11" s="35" t="s">
        <v>14</v>
      </c>
      <c r="B11" s="23">
        <v>1</v>
      </c>
      <c r="C11" s="23">
        <f>1*$E$3/100</f>
        <v>6.0000000000000001E-3</v>
      </c>
      <c r="D11" s="35">
        <f>$B$21</f>
        <v>8</v>
      </c>
      <c r="E11" s="34">
        <v>3</v>
      </c>
      <c r="F11" s="34">
        <v>1</v>
      </c>
      <c r="G11" s="39">
        <f t="shared" ref="G11:G20" si="0">D11*$E$4*$C11</f>
        <v>0.24</v>
      </c>
      <c r="H11" s="39">
        <f>E11*$E$5*$C11</f>
        <v>0.99</v>
      </c>
      <c r="I11" s="39">
        <f t="shared" ref="I11:I20" si="1">F11*($E$6*60)*$C11</f>
        <v>3.24</v>
      </c>
      <c r="J11" s="39">
        <f>G11+H11+I11</f>
        <v>4.4700000000000006</v>
      </c>
      <c r="L11" s="42" t="s">
        <v>1</v>
      </c>
      <c r="M11" s="7">
        <v>0.1</v>
      </c>
      <c r="N11" s="8">
        <f t="shared" ref="N11:N20" si="2">M11*$E$2/100</f>
        <v>5.0000000000000001E-3</v>
      </c>
      <c r="O11" s="9">
        <f t="shared" ref="O11:O20" si="3">$B$21</f>
        <v>8</v>
      </c>
      <c r="P11" s="15">
        <v>3</v>
      </c>
      <c r="Q11" s="41">
        <v>0</v>
      </c>
      <c r="R11" s="7">
        <f>O11*$E$4*$N11</f>
        <v>0.2</v>
      </c>
      <c r="S11" s="7">
        <f>P11*$E$5*$N11</f>
        <v>0.82500000000000007</v>
      </c>
      <c r="T11" s="7">
        <f>Q11*($E$6*60)*$N11</f>
        <v>0</v>
      </c>
      <c r="U11" s="7">
        <f>R11+S11+T11</f>
        <v>1.0250000000000001</v>
      </c>
      <c r="V11" s="7">
        <f>J11+U11</f>
        <v>5.495000000000001</v>
      </c>
    </row>
    <row r="12" spans="1:22" x14ac:dyDescent="0.25">
      <c r="A12" s="35" t="s">
        <v>15</v>
      </c>
      <c r="B12" s="23">
        <v>0</v>
      </c>
      <c r="C12" s="23">
        <f t="shared" ref="C12:C20" si="4">1*$E$3/100</f>
        <v>6.0000000000000001E-3</v>
      </c>
      <c r="D12" s="35">
        <f t="shared" ref="D12:D20" si="5">$B$21</f>
        <v>8</v>
      </c>
      <c r="E12" s="34">
        <v>3</v>
      </c>
      <c r="F12" s="34">
        <v>1</v>
      </c>
      <c r="G12" s="39">
        <f t="shared" si="0"/>
        <v>0.24</v>
      </c>
      <c r="H12" s="39">
        <f t="shared" ref="H12:H20" si="6">E12*$E$5*$C12</f>
        <v>0.99</v>
      </c>
      <c r="I12" s="39">
        <f t="shared" si="1"/>
        <v>3.24</v>
      </c>
      <c r="J12" s="39">
        <f t="shared" ref="J12:J20" si="7">G12+H12+I12</f>
        <v>4.4700000000000006</v>
      </c>
      <c r="L12" s="42" t="s">
        <v>2</v>
      </c>
      <c r="M12" s="7">
        <v>0.15</v>
      </c>
      <c r="N12" s="8">
        <f t="shared" si="2"/>
        <v>7.4999999999999997E-3</v>
      </c>
      <c r="O12" s="9">
        <f t="shared" si="3"/>
        <v>8</v>
      </c>
      <c r="P12" s="15">
        <v>3</v>
      </c>
      <c r="Q12" s="41">
        <v>0</v>
      </c>
      <c r="R12" s="7">
        <f t="shared" ref="R12:R20" si="8">O12*$E$4*$N12</f>
        <v>0.3</v>
      </c>
      <c r="S12" s="7">
        <f t="shared" ref="S12:S20" si="9">P12*$E$5*$N12</f>
        <v>1.2375</v>
      </c>
      <c r="T12" s="7">
        <f t="shared" ref="T12:T20" si="10">Q12*($E$6*60)*$N12</f>
        <v>0</v>
      </c>
      <c r="U12" s="7">
        <f t="shared" ref="U12:U20" si="11">R12+S12+T12</f>
        <v>1.5375000000000001</v>
      </c>
      <c r="V12" s="7">
        <f t="shared" ref="V12:V20" si="12">J12+U12</f>
        <v>6.0075000000000003</v>
      </c>
    </row>
    <row r="13" spans="1:22" x14ac:dyDescent="0.25">
      <c r="A13" s="35" t="s">
        <v>16</v>
      </c>
      <c r="B13" s="23">
        <v>1</v>
      </c>
      <c r="C13" s="23">
        <f t="shared" si="4"/>
        <v>6.0000000000000001E-3</v>
      </c>
      <c r="D13" s="35">
        <f t="shared" si="5"/>
        <v>8</v>
      </c>
      <c r="E13" s="34">
        <v>3</v>
      </c>
      <c r="F13" s="34">
        <v>1</v>
      </c>
      <c r="G13" s="39">
        <f t="shared" si="0"/>
        <v>0.24</v>
      </c>
      <c r="H13" s="39">
        <f t="shared" si="6"/>
        <v>0.99</v>
      </c>
      <c r="I13" s="39">
        <f t="shared" si="1"/>
        <v>3.24</v>
      </c>
      <c r="J13" s="39">
        <f t="shared" si="7"/>
        <v>4.4700000000000006</v>
      </c>
      <c r="L13" s="42" t="s">
        <v>3</v>
      </c>
      <c r="M13" s="7">
        <v>0.2</v>
      </c>
      <c r="N13" s="8">
        <f t="shared" si="2"/>
        <v>0.01</v>
      </c>
      <c r="O13" s="9">
        <f t="shared" si="3"/>
        <v>8</v>
      </c>
      <c r="P13" s="15">
        <v>3</v>
      </c>
      <c r="Q13" s="41">
        <v>1</v>
      </c>
      <c r="R13" s="7">
        <f t="shared" si="8"/>
        <v>0.4</v>
      </c>
      <c r="S13" s="7">
        <f t="shared" si="9"/>
        <v>1.6500000000000001</v>
      </c>
      <c r="T13" s="7">
        <f t="shared" si="10"/>
        <v>5.4</v>
      </c>
      <c r="U13" s="7">
        <f t="shared" si="11"/>
        <v>7.4500000000000011</v>
      </c>
      <c r="V13" s="7">
        <f t="shared" si="12"/>
        <v>11.920000000000002</v>
      </c>
    </row>
    <row r="14" spans="1:22" x14ac:dyDescent="0.25">
      <c r="A14" s="35" t="s">
        <v>17</v>
      </c>
      <c r="B14" s="23">
        <v>1</v>
      </c>
      <c r="C14" s="23">
        <f t="shared" si="4"/>
        <v>6.0000000000000001E-3</v>
      </c>
      <c r="D14" s="35">
        <f t="shared" si="5"/>
        <v>8</v>
      </c>
      <c r="E14" s="34">
        <v>3</v>
      </c>
      <c r="F14" s="34">
        <v>1</v>
      </c>
      <c r="G14" s="39">
        <f t="shared" si="0"/>
        <v>0.24</v>
      </c>
      <c r="H14" s="39">
        <f t="shared" si="6"/>
        <v>0.99</v>
      </c>
      <c r="I14" s="39">
        <f t="shared" si="1"/>
        <v>3.24</v>
      </c>
      <c r="J14" s="39">
        <f t="shared" si="7"/>
        <v>4.4700000000000006</v>
      </c>
      <c r="L14" s="42" t="s">
        <v>4</v>
      </c>
      <c r="M14" s="7">
        <v>0.25</v>
      </c>
      <c r="N14" s="8">
        <f t="shared" si="2"/>
        <v>1.2500000000000001E-2</v>
      </c>
      <c r="O14" s="9">
        <f t="shared" si="3"/>
        <v>8</v>
      </c>
      <c r="P14" s="15">
        <v>3</v>
      </c>
      <c r="Q14" s="41">
        <v>0</v>
      </c>
      <c r="R14" s="7">
        <f t="shared" si="8"/>
        <v>0.5</v>
      </c>
      <c r="S14" s="7">
        <f t="shared" si="9"/>
        <v>2.0625</v>
      </c>
      <c r="T14" s="7">
        <f t="shared" si="10"/>
        <v>0</v>
      </c>
      <c r="U14" s="7">
        <f t="shared" si="11"/>
        <v>2.5625</v>
      </c>
      <c r="V14" s="7">
        <f t="shared" si="12"/>
        <v>7.0325000000000006</v>
      </c>
    </row>
    <row r="15" spans="1:22" x14ac:dyDescent="0.25">
      <c r="A15" s="35" t="s">
        <v>18</v>
      </c>
      <c r="B15" s="23">
        <v>1</v>
      </c>
      <c r="C15" s="23">
        <f t="shared" si="4"/>
        <v>6.0000000000000001E-3</v>
      </c>
      <c r="D15" s="35">
        <f t="shared" si="5"/>
        <v>8</v>
      </c>
      <c r="E15" s="34">
        <v>8</v>
      </c>
      <c r="F15" s="34">
        <v>1</v>
      </c>
      <c r="G15" s="39">
        <f t="shared" si="0"/>
        <v>0.24</v>
      </c>
      <c r="H15" s="39">
        <f t="shared" si="6"/>
        <v>2.64</v>
      </c>
      <c r="I15" s="39">
        <f t="shared" si="1"/>
        <v>3.24</v>
      </c>
      <c r="J15" s="39">
        <f t="shared" si="7"/>
        <v>6.12</v>
      </c>
      <c r="L15" s="42" t="s">
        <v>5</v>
      </c>
      <c r="M15" s="7">
        <v>0.1</v>
      </c>
      <c r="N15" s="8">
        <f t="shared" si="2"/>
        <v>5.0000000000000001E-3</v>
      </c>
      <c r="O15" s="9">
        <f t="shared" si="3"/>
        <v>8</v>
      </c>
      <c r="P15" s="15">
        <v>3</v>
      </c>
      <c r="Q15" s="41">
        <v>0</v>
      </c>
      <c r="R15" s="7">
        <f t="shared" si="8"/>
        <v>0.2</v>
      </c>
      <c r="S15" s="7">
        <f t="shared" si="9"/>
        <v>0.82500000000000007</v>
      </c>
      <c r="T15" s="7">
        <f t="shared" si="10"/>
        <v>0</v>
      </c>
      <c r="U15" s="7">
        <f t="shared" si="11"/>
        <v>1.0250000000000001</v>
      </c>
      <c r="V15" s="7">
        <f t="shared" si="12"/>
        <v>7.1450000000000005</v>
      </c>
    </row>
    <row r="16" spans="1:22" x14ac:dyDescent="0.25">
      <c r="A16" s="35" t="s">
        <v>19</v>
      </c>
      <c r="B16" s="23">
        <v>1</v>
      </c>
      <c r="C16" s="23">
        <f t="shared" si="4"/>
        <v>6.0000000000000001E-3</v>
      </c>
      <c r="D16" s="35">
        <f t="shared" si="5"/>
        <v>8</v>
      </c>
      <c r="E16" s="34">
        <v>4</v>
      </c>
      <c r="F16" s="34">
        <v>1</v>
      </c>
      <c r="G16" s="39">
        <f t="shared" si="0"/>
        <v>0.24</v>
      </c>
      <c r="H16" s="39">
        <f t="shared" si="6"/>
        <v>1.32</v>
      </c>
      <c r="I16" s="39">
        <f t="shared" si="1"/>
        <v>3.24</v>
      </c>
      <c r="J16" s="39">
        <f t="shared" si="7"/>
        <v>4.8000000000000007</v>
      </c>
      <c r="L16" s="42" t="s">
        <v>6</v>
      </c>
      <c r="M16" s="7">
        <v>0.15</v>
      </c>
      <c r="N16" s="8">
        <f t="shared" si="2"/>
        <v>7.4999999999999997E-3</v>
      </c>
      <c r="O16" s="9">
        <f t="shared" si="3"/>
        <v>8</v>
      </c>
      <c r="P16" s="15">
        <v>4</v>
      </c>
      <c r="Q16" s="41">
        <v>0</v>
      </c>
      <c r="R16" s="7">
        <f t="shared" si="8"/>
        <v>0.3</v>
      </c>
      <c r="S16" s="7">
        <f t="shared" si="9"/>
        <v>1.65</v>
      </c>
      <c r="T16" s="7">
        <f t="shared" si="10"/>
        <v>0</v>
      </c>
      <c r="U16" s="7">
        <f t="shared" si="11"/>
        <v>1.95</v>
      </c>
      <c r="V16" s="7">
        <f t="shared" si="12"/>
        <v>6.7500000000000009</v>
      </c>
    </row>
    <row r="17" spans="1:22" x14ac:dyDescent="0.25">
      <c r="A17" s="35" t="s">
        <v>20</v>
      </c>
      <c r="B17" s="23">
        <v>1</v>
      </c>
      <c r="C17" s="23">
        <f t="shared" si="4"/>
        <v>6.0000000000000001E-3</v>
      </c>
      <c r="D17" s="35">
        <f t="shared" si="5"/>
        <v>8</v>
      </c>
      <c r="E17" s="34">
        <v>4</v>
      </c>
      <c r="F17" s="34">
        <v>2</v>
      </c>
      <c r="G17" s="39">
        <f t="shared" si="0"/>
        <v>0.24</v>
      </c>
      <c r="H17" s="39">
        <f t="shared" si="6"/>
        <v>1.32</v>
      </c>
      <c r="I17" s="39">
        <f t="shared" si="1"/>
        <v>6.48</v>
      </c>
      <c r="J17" s="39">
        <f t="shared" si="7"/>
        <v>8.0400000000000009</v>
      </c>
      <c r="L17" s="42" t="s">
        <v>7</v>
      </c>
      <c r="M17" s="7">
        <v>0.2</v>
      </c>
      <c r="N17" s="8">
        <f t="shared" si="2"/>
        <v>0.01</v>
      </c>
      <c r="O17" s="9">
        <f t="shared" si="3"/>
        <v>8</v>
      </c>
      <c r="P17" s="15">
        <v>4</v>
      </c>
      <c r="Q17" s="41">
        <v>0</v>
      </c>
      <c r="R17" s="7">
        <f t="shared" si="8"/>
        <v>0.4</v>
      </c>
      <c r="S17" s="7">
        <f t="shared" si="9"/>
        <v>2.2000000000000002</v>
      </c>
      <c r="T17" s="7">
        <f t="shared" si="10"/>
        <v>0</v>
      </c>
      <c r="U17" s="7">
        <f t="shared" si="11"/>
        <v>2.6</v>
      </c>
      <c r="V17" s="7">
        <f t="shared" si="12"/>
        <v>10.64</v>
      </c>
    </row>
    <row r="18" spans="1:22" x14ac:dyDescent="0.25">
      <c r="A18" s="35" t="s">
        <v>21</v>
      </c>
      <c r="B18" s="23">
        <v>1</v>
      </c>
      <c r="C18" s="23">
        <f t="shared" si="4"/>
        <v>6.0000000000000001E-3</v>
      </c>
      <c r="D18" s="35">
        <f t="shared" si="5"/>
        <v>8</v>
      </c>
      <c r="E18" s="34">
        <v>4</v>
      </c>
      <c r="F18" s="34">
        <v>1</v>
      </c>
      <c r="G18" s="39">
        <f t="shared" si="0"/>
        <v>0.24</v>
      </c>
      <c r="H18" s="39">
        <f t="shared" si="6"/>
        <v>1.32</v>
      </c>
      <c r="I18" s="39">
        <f t="shared" si="1"/>
        <v>3.24</v>
      </c>
      <c r="J18" s="39">
        <f t="shared" si="7"/>
        <v>4.8000000000000007</v>
      </c>
      <c r="L18" s="42" t="s">
        <v>8</v>
      </c>
      <c r="M18" s="7">
        <v>0.25</v>
      </c>
      <c r="N18" s="8">
        <f t="shared" si="2"/>
        <v>1.2500000000000001E-2</v>
      </c>
      <c r="O18" s="9">
        <f t="shared" si="3"/>
        <v>8</v>
      </c>
      <c r="P18" s="15">
        <v>4</v>
      </c>
      <c r="Q18" s="41">
        <v>1</v>
      </c>
      <c r="R18" s="7">
        <f t="shared" si="8"/>
        <v>0.5</v>
      </c>
      <c r="S18" s="7">
        <f t="shared" si="9"/>
        <v>2.75</v>
      </c>
      <c r="T18" s="7">
        <f t="shared" si="10"/>
        <v>6.75</v>
      </c>
      <c r="U18" s="7">
        <f t="shared" si="11"/>
        <v>10</v>
      </c>
      <c r="V18" s="7">
        <f t="shared" si="12"/>
        <v>14.8</v>
      </c>
    </row>
    <row r="19" spans="1:22" x14ac:dyDescent="0.25">
      <c r="A19" s="35" t="s">
        <v>22</v>
      </c>
      <c r="B19" s="23">
        <v>0</v>
      </c>
      <c r="C19" s="23">
        <f t="shared" si="4"/>
        <v>6.0000000000000001E-3</v>
      </c>
      <c r="D19" s="35">
        <f t="shared" si="5"/>
        <v>8</v>
      </c>
      <c r="E19" s="34">
        <v>4</v>
      </c>
      <c r="F19" s="34">
        <v>1</v>
      </c>
      <c r="G19" s="39">
        <f t="shared" si="0"/>
        <v>0.24</v>
      </c>
      <c r="H19" s="39">
        <f t="shared" si="6"/>
        <v>1.32</v>
      </c>
      <c r="I19" s="39">
        <f t="shared" si="1"/>
        <v>3.24</v>
      </c>
      <c r="J19" s="39">
        <f t="shared" si="7"/>
        <v>4.8000000000000007</v>
      </c>
      <c r="L19" s="42" t="s">
        <v>9</v>
      </c>
      <c r="M19" s="7">
        <v>0.25</v>
      </c>
      <c r="N19" s="8">
        <f t="shared" si="2"/>
        <v>1.2500000000000001E-2</v>
      </c>
      <c r="O19" s="9">
        <f t="shared" si="3"/>
        <v>8</v>
      </c>
      <c r="P19" s="15">
        <v>4</v>
      </c>
      <c r="Q19" s="41">
        <v>0</v>
      </c>
      <c r="R19" s="7">
        <f t="shared" si="8"/>
        <v>0.5</v>
      </c>
      <c r="S19" s="7">
        <f t="shared" si="9"/>
        <v>2.75</v>
      </c>
      <c r="T19" s="7">
        <f t="shared" si="10"/>
        <v>0</v>
      </c>
      <c r="U19" s="7">
        <f t="shared" si="11"/>
        <v>3.25</v>
      </c>
      <c r="V19" s="7">
        <f t="shared" si="12"/>
        <v>8.0500000000000007</v>
      </c>
    </row>
    <row r="20" spans="1:22" x14ac:dyDescent="0.25">
      <c r="A20" s="35" t="s">
        <v>23</v>
      </c>
      <c r="B20" s="23">
        <v>1</v>
      </c>
      <c r="C20" s="23">
        <f t="shared" si="4"/>
        <v>6.0000000000000001E-3</v>
      </c>
      <c r="D20" s="35">
        <f t="shared" si="5"/>
        <v>8</v>
      </c>
      <c r="E20" s="34">
        <v>4</v>
      </c>
      <c r="F20" s="34">
        <v>1</v>
      </c>
      <c r="G20" s="39">
        <f t="shared" si="0"/>
        <v>0.24</v>
      </c>
      <c r="H20" s="39">
        <f t="shared" si="6"/>
        <v>1.32</v>
      </c>
      <c r="I20" s="39">
        <f t="shared" si="1"/>
        <v>3.24</v>
      </c>
      <c r="J20" s="39">
        <f t="shared" si="7"/>
        <v>4.8000000000000007</v>
      </c>
      <c r="L20" s="42" t="s">
        <v>10</v>
      </c>
      <c r="M20" s="7">
        <v>0.15</v>
      </c>
      <c r="N20" s="8">
        <f t="shared" si="2"/>
        <v>7.4999999999999997E-3</v>
      </c>
      <c r="O20" s="9">
        <f t="shared" si="3"/>
        <v>8</v>
      </c>
      <c r="P20" s="15">
        <v>4</v>
      </c>
      <c r="Q20" s="41">
        <v>1</v>
      </c>
      <c r="R20" s="7">
        <f t="shared" si="8"/>
        <v>0.3</v>
      </c>
      <c r="S20" s="7">
        <f t="shared" si="9"/>
        <v>1.65</v>
      </c>
      <c r="T20" s="7">
        <f t="shared" si="10"/>
        <v>4.05</v>
      </c>
      <c r="U20" s="7">
        <f t="shared" si="11"/>
        <v>6</v>
      </c>
      <c r="V20" s="7">
        <f t="shared" si="12"/>
        <v>10.8</v>
      </c>
    </row>
    <row r="21" spans="1:22" x14ac:dyDescent="0.25">
      <c r="A21" s="24" t="s">
        <v>12</v>
      </c>
      <c r="B21" s="24">
        <f>SUM(B11:B20)</f>
        <v>8</v>
      </c>
      <c r="C21" s="24">
        <f>SUM(C11:C20)</f>
        <v>5.9999999999999991E-2</v>
      </c>
      <c r="D21" s="24"/>
      <c r="E21" s="35"/>
      <c r="F21" s="35"/>
      <c r="G21" s="40">
        <f>SUM(G11:G20)</f>
        <v>2.4000000000000004</v>
      </c>
      <c r="H21" s="40">
        <f t="shared" ref="H21:J21" si="13">SUM(H11:H20)</f>
        <v>13.200000000000001</v>
      </c>
      <c r="I21" s="40">
        <f t="shared" si="13"/>
        <v>35.640000000000008</v>
      </c>
      <c r="J21" s="40">
        <f t="shared" si="13"/>
        <v>51.239999999999995</v>
      </c>
      <c r="L21" s="10" t="s">
        <v>12</v>
      </c>
      <c r="M21" s="11">
        <f>SUM(M11:M20)</f>
        <v>1.7999999999999998</v>
      </c>
      <c r="N21" s="12">
        <f>SUM(N11:N20)</f>
        <v>0.09</v>
      </c>
      <c r="O21" s="12"/>
      <c r="P21" s="12"/>
      <c r="Q21" s="12"/>
      <c r="R21" s="11">
        <f t="shared" ref="R21:V21" si="14">SUM(R11:R20)</f>
        <v>3.5999999999999996</v>
      </c>
      <c r="S21" s="11">
        <f t="shared" si="14"/>
        <v>17.599999999999998</v>
      </c>
      <c r="T21" s="11">
        <f t="shared" si="14"/>
        <v>16.2</v>
      </c>
      <c r="U21" s="11">
        <f t="shared" si="14"/>
        <v>37.400000000000006</v>
      </c>
      <c r="V21" s="11">
        <f t="shared" si="14"/>
        <v>88.64</v>
      </c>
    </row>
    <row r="23" spans="1:22" x14ac:dyDescent="0.25">
      <c r="A23" s="43" t="s">
        <v>56</v>
      </c>
      <c r="B23" s="1"/>
      <c r="C23" s="1"/>
      <c r="D23" s="1"/>
      <c r="E23" s="36">
        <f>V21/B21</f>
        <v>11.08</v>
      </c>
      <c r="F23" s="1" t="s">
        <v>33</v>
      </c>
    </row>
    <row r="25" spans="1:22" ht="30" customHeight="1" x14ac:dyDescent="0.25">
      <c r="A25" s="69" t="s">
        <v>40</v>
      </c>
      <c r="B25" s="70"/>
      <c r="C25" s="70"/>
      <c r="D25" s="70"/>
      <c r="E25" s="70"/>
      <c r="F25" s="70"/>
      <c r="G25" s="70"/>
      <c r="H25" s="70"/>
      <c r="I25" s="70"/>
      <c r="J25" s="70"/>
      <c r="K25" s="70"/>
      <c r="L25" s="70"/>
      <c r="M25" s="70"/>
      <c r="N25" s="70"/>
      <c r="O25" s="70"/>
      <c r="P25" s="70"/>
      <c r="Q25" s="70"/>
      <c r="R25" s="70"/>
      <c r="S25" s="70"/>
      <c r="T25" s="70"/>
      <c r="U25" s="70"/>
      <c r="V25" s="71"/>
    </row>
    <row r="27" spans="1:22" x14ac:dyDescent="0.25">
      <c r="A27" s="44" t="s">
        <v>69</v>
      </c>
      <c r="D27" s="44"/>
    </row>
    <row r="30" spans="1:22" x14ac:dyDescent="0.25">
      <c r="A30" s="44" t="s">
        <v>70</v>
      </c>
    </row>
    <row r="31" spans="1:22" x14ac:dyDescent="0.25">
      <c r="A31" s="44" t="s">
        <v>57</v>
      </c>
    </row>
    <row r="32" spans="1:22" x14ac:dyDescent="0.25">
      <c r="A32" s="44" t="s">
        <v>60</v>
      </c>
    </row>
    <row r="33" spans="1:1" x14ac:dyDescent="0.25">
      <c r="A33" s="44" t="s">
        <v>61</v>
      </c>
    </row>
    <row r="34" spans="1:1" x14ac:dyDescent="0.25">
      <c r="A34" s="44" t="s">
        <v>58</v>
      </c>
    </row>
    <row r="36" spans="1:1" x14ac:dyDescent="0.25">
      <c r="A36" s="44" t="s">
        <v>62</v>
      </c>
    </row>
    <row r="37" spans="1:1" x14ac:dyDescent="0.25">
      <c r="A37" s="44" t="s">
        <v>63</v>
      </c>
    </row>
    <row r="38" spans="1:1" x14ac:dyDescent="0.25">
      <c r="A38" s="44" t="s">
        <v>60</v>
      </c>
    </row>
    <row r="39" spans="1:1" x14ac:dyDescent="0.25">
      <c r="A39" s="44" t="s">
        <v>61</v>
      </c>
    </row>
    <row r="40" spans="1:1" x14ac:dyDescent="0.25">
      <c r="A40" s="44" t="s">
        <v>64</v>
      </c>
    </row>
  </sheetData>
  <mergeCells count="28">
    <mergeCell ref="J9:J10"/>
    <mergeCell ref="V8:V10"/>
    <mergeCell ref="U9:U10"/>
    <mergeCell ref="A8:A10"/>
    <mergeCell ref="B8:B10"/>
    <mergeCell ref="C8:C10"/>
    <mergeCell ref="D9:D10"/>
    <mergeCell ref="E9:F9"/>
    <mergeCell ref="G9:G10"/>
    <mergeCell ref="H9:I9"/>
    <mergeCell ref="O8:Q8"/>
    <mergeCell ref="R8:U8"/>
    <mergeCell ref="A25:V25"/>
    <mergeCell ref="A1:E1"/>
    <mergeCell ref="S9:T9"/>
    <mergeCell ref="D8:F8"/>
    <mergeCell ref="G8:J8"/>
    <mergeCell ref="L8:L10"/>
    <mergeCell ref="M8:M10"/>
    <mergeCell ref="N8:N10"/>
    <mergeCell ref="O9:O10"/>
    <mergeCell ref="P9:Q9"/>
    <mergeCell ref="R9:R10"/>
    <mergeCell ref="A2:D2"/>
    <mergeCell ref="A3:D3"/>
    <mergeCell ref="A6:D6"/>
    <mergeCell ref="A4:D4"/>
    <mergeCell ref="A5:D5"/>
  </mergeCells>
  <phoneticPr fontId="8" type="noConversion"/>
  <pageMargins left="0.7" right="0.7" top="0.75" bottom="0.75" header="0.3" footer="0.3"/>
  <pageSetup paperSize="9" orientation="portrait" horizontalDpi="4294967293" verticalDpi="0"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30"/>
  <sheetViews>
    <sheetView zoomScaleNormal="100" workbookViewId="0">
      <selection activeCell="U34" sqref="U34"/>
    </sheetView>
  </sheetViews>
  <sheetFormatPr defaultColWidth="11.5703125" defaultRowHeight="15" x14ac:dyDescent="0.25"/>
  <cols>
    <col min="1" max="3" width="9.7109375" customWidth="1"/>
    <col min="4" max="4" width="9.42578125" customWidth="1"/>
    <col min="5" max="11" width="7.7109375" customWidth="1"/>
    <col min="12" max="12" width="1.42578125" customWidth="1"/>
    <col min="13" max="14" width="9.7109375" customWidth="1"/>
    <col min="15" max="15" width="8.7109375" customWidth="1"/>
    <col min="16" max="22" width="7.7109375" customWidth="1"/>
    <col min="23" max="23" width="8.28515625" customWidth="1"/>
    <col min="24" max="24" width="11.5703125" hidden="1" customWidth="1"/>
  </cols>
  <sheetData>
    <row r="1" spans="1:26" ht="13.9" customHeight="1" x14ac:dyDescent="0.25">
      <c r="A1" s="64" t="s">
        <v>36</v>
      </c>
      <c r="B1" s="64"/>
      <c r="C1" s="64"/>
      <c r="D1" s="64"/>
      <c r="U1" s="67" t="s">
        <v>54</v>
      </c>
      <c r="V1" s="68"/>
      <c r="W1" s="68"/>
      <c r="X1" s="68"/>
      <c r="Y1" s="21">
        <v>5</v>
      </c>
    </row>
    <row r="2" spans="1:26" ht="30" customHeight="1" x14ac:dyDescent="0.25">
      <c r="A2" s="67" t="s">
        <v>65</v>
      </c>
      <c r="B2" s="68"/>
      <c r="C2" s="68"/>
      <c r="D2" s="16">
        <v>3500</v>
      </c>
      <c r="U2" s="67" t="s">
        <v>55</v>
      </c>
      <c r="V2" s="68"/>
      <c r="W2" s="68"/>
      <c r="X2" s="68"/>
      <c r="Y2" s="21">
        <v>55</v>
      </c>
    </row>
    <row r="3" spans="1:26" x14ac:dyDescent="0.25">
      <c r="A3" s="65" t="s">
        <v>66</v>
      </c>
      <c r="B3" s="66"/>
      <c r="C3" s="66"/>
      <c r="D3" s="2">
        <v>0.95</v>
      </c>
      <c r="U3" s="65" t="s">
        <v>59</v>
      </c>
      <c r="V3" s="66"/>
      <c r="W3" s="66"/>
      <c r="X3" s="66"/>
      <c r="Y3" s="21">
        <v>9</v>
      </c>
    </row>
    <row r="4" spans="1:26" ht="30" customHeight="1" x14ac:dyDescent="0.25">
      <c r="A4" s="68" t="s">
        <v>38</v>
      </c>
      <c r="B4" s="68"/>
      <c r="C4" s="68"/>
      <c r="D4" s="68"/>
    </row>
    <row r="5" spans="1:26" x14ac:dyDescent="0.25">
      <c r="A5" s="17"/>
      <c r="B5" s="17"/>
      <c r="C5" s="17"/>
      <c r="D5" s="17"/>
    </row>
    <row r="6" spans="1:26" x14ac:dyDescent="0.25">
      <c r="A6" s="17"/>
      <c r="B6" s="17"/>
      <c r="C6" s="17"/>
      <c r="D6" s="17"/>
    </row>
    <row r="8" spans="1:26" ht="30" customHeight="1" x14ac:dyDescent="0.25">
      <c r="A8" s="77" t="s">
        <v>13</v>
      </c>
      <c r="B8" s="77" t="s">
        <v>37</v>
      </c>
      <c r="C8" s="77" t="s">
        <v>39</v>
      </c>
      <c r="D8" s="77" t="s">
        <v>25</v>
      </c>
      <c r="E8" s="91" t="s">
        <v>35</v>
      </c>
      <c r="F8" s="92"/>
      <c r="G8" s="76"/>
      <c r="H8" s="91" t="s">
        <v>34</v>
      </c>
      <c r="I8" s="92"/>
      <c r="J8" s="92"/>
      <c r="K8" s="76"/>
      <c r="M8" s="80" t="s">
        <v>0</v>
      </c>
      <c r="N8" s="80" t="s">
        <v>11</v>
      </c>
      <c r="O8" s="80" t="s">
        <v>25</v>
      </c>
      <c r="P8" s="88" t="s">
        <v>35</v>
      </c>
      <c r="Q8" s="89"/>
      <c r="R8" s="90"/>
      <c r="S8" s="88" t="s">
        <v>34</v>
      </c>
      <c r="T8" s="89"/>
      <c r="U8" s="89"/>
      <c r="V8" s="90"/>
      <c r="W8" s="80" t="s">
        <v>32</v>
      </c>
    </row>
    <row r="9" spans="1:26" ht="15" customHeight="1" x14ac:dyDescent="0.25">
      <c r="A9" s="78"/>
      <c r="B9" s="78"/>
      <c r="C9" s="78"/>
      <c r="D9" s="78"/>
      <c r="E9" s="77" t="s">
        <v>28</v>
      </c>
      <c r="F9" s="91" t="s">
        <v>31</v>
      </c>
      <c r="G9" s="76"/>
      <c r="H9" s="77" t="s">
        <v>28</v>
      </c>
      <c r="I9" s="91" t="s">
        <v>31</v>
      </c>
      <c r="J9" s="76"/>
      <c r="K9" s="77" t="s">
        <v>12</v>
      </c>
      <c r="M9" s="62"/>
      <c r="N9" s="62"/>
      <c r="O9" s="62"/>
      <c r="P9" s="80" t="s">
        <v>28</v>
      </c>
      <c r="Q9" s="88" t="s">
        <v>31</v>
      </c>
      <c r="R9" s="90"/>
      <c r="S9" s="80" t="s">
        <v>28</v>
      </c>
      <c r="T9" s="88" t="s">
        <v>31</v>
      </c>
      <c r="U9" s="90"/>
      <c r="V9" s="80" t="s">
        <v>12</v>
      </c>
      <c r="W9" s="62"/>
    </row>
    <row r="10" spans="1:26" x14ac:dyDescent="0.25">
      <c r="A10" s="74"/>
      <c r="B10" s="74"/>
      <c r="C10" s="74"/>
      <c r="D10" s="74"/>
      <c r="E10" s="74"/>
      <c r="F10" s="22" t="s">
        <v>29</v>
      </c>
      <c r="G10" s="22" t="s">
        <v>30</v>
      </c>
      <c r="H10" s="74"/>
      <c r="I10" s="22" t="s">
        <v>29</v>
      </c>
      <c r="J10" s="22" t="s">
        <v>30</v>
      </c>
      <c r="K10" s="74"/>
      <c r="M10" s="63"/>
      <c r="N10" s="63"/>
      <c r="O10" s="63"/>
      <c r="P10" s="63"/>
      <c r="Q10" s="14" t="s">
        <v>29</v>
      </c>
      <c r="R10" s="14" t="s">
        <v>30</v>
      </c>
      <c r="S10" s="63"/>
      <c r="T10" s="14" t="s">
        <v>29</v>
      </c>
      <c r="U10" s="14" t="s">
        <v>30</v>
      </c>
      <c r="V10" s="63"/>
      <c r="W10" s="63"/>
      <c r="Z10" s="3"/>
    </row>
    <row r="11" spans="1:26" x14ac:dyDescent="0.25">
      <c r="A11" s="23" t="s">
        <v>14</v>
      </c>
      <c r="B11" s="23">
        <v>300</v>
      </c>
      <c r="C11" s="25">
        <f>B11*$D$3*$D$2/8760</f>
        <v>113.86986301369863</v>
      </c>
      <c r="D11" s="23">
        <f>1*停电时间计算!$E$3/100</f>
        <v>6.0000000000000001E-3</v>
      </c>
      <c r="E11" s="25">
        <f t="shared" ref="E11:E20" si="0">$B$21*$D$3*$D$2/8760</f>
        <v>1328.4817351598174</v>
      </c>
      <c r="F11" s="26">
        <f>SUM($C$11:$C$14)</f>
        <v>493.43607305936075</v>
      </c>
      <c r="G11" s="26">
        <f>C11</f>
        <v>113.86986301369863</v>
      </c>
      <c r="H11" s="27">
        <f>E11*停电时间计算!$E$4*$D11</f>
        <v>39.854452054794521</v>
      </c>
      <c r="I11" s="27">
        <f>F11*停电时间计算!$E$5*$D11</f>
        <v>162.83390410958904</v>
      </c>
      <c r="J11" s="27">
        <f>G11*停电时间计算!$E$6*60*$D11</f>
        <v>368.93835616438355</v>
      </c>
      <c r="K11" s="27">
        <f>H11+I11+J11</f>
        <v>571.6267123287671</v>
      </c>
      <c r="M11" s="6" t="s">
        <v>1</v>
      </c>
      <c r="N11" s="7">
        <v>0.1</v>
      </c>
      <c r="O11" s="18">
        <f>N11*停电时间计算!$E$2/100</f>
        <v>5.0000000000000001E-3</v>
      </c>
      <c r="P11" s="7">
        <f>$C$21</f>
        <v>1328.4817351598174</v>
      </c>
      <c r="Q11" s="20">
        <f>SUM($C$11:$C$14)</f>
        <v>493.43607305936075</v>
      </c>
      <c r="R11" s="20">
        <v>0</v>
      </c>
      <c r="S11" s="9">
        <f>P11*停电时间计算!$E$4*缺供电量计算!O11</f>
        <v>33.212043378995439</v>
      </c>
      <c r="T11" s="9">
        <f>Q11*停电时间计算!$E$5*O11</f>
        <v>135.69492009132421</v>
      </c>
      <c r="U11" s="9">
        <f>R11*(停电时间计算!$E$6*60)*O11</f>
        <v>0</v>
      </c>
      <c r="V11" s="9">
        <f>S11+T11+U11</f>
        <v>168.90696347031965</v>
      </c>
      <c r="W11" s="7">
        <f>K11+V11</f>
        <v>740.53367579908672</v>
      </c>
      <c r="Z11" s="3"/>
    </row>
    <row r="12" spans="1:26" x14ac:dyDescent="0.25">
      <c r="A12" s="23" t="s">
        <v>15</v>
      </c>
      <c r="B12" s="23">
        <v>0</v>
      </c>
      <c r="C12" s="25">
        <f t="shared" ref="C12:C20" si="1">B12*$D$3*$D$2/8760</f>
        <v>0</v>
      </c>
      <c r="D12" s="23">
        <f>1*停电时间计算!$E$3/100</f>
        <v>6.0000000000000001E-3</v>
      </c>
      <c r="E12" s="25">
        <f t="shared" si="0"/>
        <v>1328.4817351598174</v>
      </c>
      <c r="F12" s="26">
        <f t="shared" ref="F12:F14" si="2">SUM($C$11:$C$14)</f>
        <v>493.43607305936075</v>
      </c>
      <c r="G12" s="26">
        <f>C13</f>
        <v>265.69634703196346</v>
      </c>
      <c r="H12" s="27">
        <f>E12*停电时间计算!$E$4*$D12</f>
        <v>39.854452054794521</v>
      </c>
      <c r="I12" s="27">
        <f>F12*停电时间计算!$E$5*$D12</f>
        <v>162.83390410958904</v>
      </c>
      <c r="J12" s="27">
        <f>G12*停电时间计算!$E$6*60*$D12</f>
        <v>860.85616438356146</v>
      </c>
      <c r="K12" s="27">
        <f t="shared" ref="K12:K20" si="3">H12+I12+J12</f>
        <v>1063.544520547945</v>
      </c>
      <c r="M12" s="6" t="s">
        <v>2</v>
      </c>
      <c r="N12" s="7">
        <v>0.15</v>
      </c>
      <c r="O12" s="18">
        <f>N12*停电时间计算!$E$2/100</f>
        <v>7.4999999999999997E-3</v>
      </c>
      <c r="P12" s="7">
        <f t="shared" ref="P12:P20" si="4">$C$21</f>
        <v>1328.4817351598174</v>
      </c>
      <c r="Q12" s="20">
        <f t="shared" ref="Q12:Q15" si="5">SUM($C$11:$C$14)</f>
        <v>493.43607305936075</v>
      </c>
      <c r="R12" s="20">
        <v>0</v>
      </c>
      <c r="S12" s="9">
        <f>P12*停电时间计算!$E$4*缺供电量计算!O12</f>
        <v>49.818065068493155</v>
      </c>
      <c r="T12" s="9">
        <f>Q12*停电时间计算!$E$5*O12</f>
        <v>203.54238013698628</v>
      </c>
      <c r="U12" s="9">
        <f>R12*(停电时间计算!$E$6*60)*O12</f>
        <v>0</v>
      </c>
      <c r="V12" s="9">
        <f t="shared" ref="V12:V20" si="6">S12+T12+U12</f>
        <v>253.36044520547944</v>
      </c>
      <c r="W12" s="7">
        <f t="shared" ref="W12:W20" si="7">K12+V12</f>
        <v>1316.9049657534244</v>
      </c>
      <c r="Z12" s="4"/>
    </row>
    <row r="13" spans="1:26" x14ac:dyDescent="0.25">
      <c r="A13" s="23" t="s">
        <v>16</v>
      </c>
      <c r="B13" s="23">
        <v>700</v>
      </c>
      <c r="C13" s="25">
        <f t="shared" si="1"/>
        <v>265.69634703196346</v>
      </c>
      <c r="D13" s="23">
        <f>1*停电时间计算!$E$3/100</f>
        <v>6.0000000000000001E-3</v>
      </c>
      <c r="E13" s="25">
        <f t="shared" si="0"/>
        <v>1328.4817351598174</v>
      </c>
      <c r="F13" s="26">
        <f t="shared" si="2"/>
        <v>493.43607305936075</v>
      </c>
      <c r="G13" s="26">
        <f>C13</f>
        <v>265.69634703196346</v>
      </c>
      <c r="H13" s="27">
        <f>E13*停电时间计算!$E$4*$D13</f>
        <v>39.854452054794521</v>
      </c>
      <c r="I13" s="27">
        <f>F13*停电时间计算!$E$5*$D13</f>
        <v>162.83390410958904</v>
      </c>
      <c r="J13" s="27">
        <f>G13*停电时间计算!$E$6*60*$D13</f>
        <v>860.85616438356146</v>
      </c>
      <c r="K13" s="27">
        <f t="shared" si="3"/>
        <v>1063.544520547945</v>
      </c>
      <c r="M13" s="6" t="s">
        <v>3</v>
      </c>
      <c r="N13" s="7">
        <v>0.2</v>
      </c>
      <c r="O13" s="18">
        <f>N13*停电时间计算!$E$2/100</f>
        <v>0.01</v>
      </c>
      <c r="P13" s="7">
        <f t="shared" si="4"/>
        <v>1328.4817351598174</v>
      </c>
      <c r="Q13" s="20">
        <f t="shared" si="5"/>
        <v>493.43607305936075</v>
      </c>
      <c r="R13" s="20">
        <f>C13</f>
        <v>265.69634703196346</v>
      </c>
      <c r="S13" s="9">
        <f>P13*停电时间计算!$E$4*缺供电量计算!O13</f>
        <v>66.424086757990878</v>
      </c>
      <c r="T13" s="9">
        <f>Q13*停电时间计算!$E$5*O13</f>
        <v>271.38984018264841</v>
      </c>
      <c r="U13" s="9">
        <f>R13*(停电时间计算!$E$6*60)*O13</f>
        <v>1434.7602739726028</v>
      </c>
      <c r="V13" s="9">
        <f t="shared" si="6"/>
        <v>1772.5742009132421</v>
      </c>
      <c r="W13" s="7">
        <f t="shared" si="7"/>
        <v>2836.1187214611873</v>
      </c>
      <c r="Z13" s="5"/>
    </row>
    <row r="14" spans="1:26" x14ac:dyDescent="0.25">
      <c r="A14" s="23" t="s">
        <v>17</v>
      </c>
      <c r="B14" s="23">
        <v>300</v>
      </c>
      <c r="C14" s="25">
        <f t="shared" si="1"/>
        <v>113.86986301369863</v>
      </c>
      <c r="D14" s="23">
        <f>1*停电时间计算!$E$3/100</f>
        <v>6.0000000000000001E-3</v>
      </c>
      <c r="E14" s="25">
        <f t="shared" si="0"/>
        <v>1328.4817351598174</v>
      </c>
      <c r="F14" s="26">
        <f t="shared" si="2"/>
        <v>493.43607305936075</v>
      </c>
      <c r="G14" s="26">
        <f>C14</f>
        <v>113.86986301369863</v>
      </c>
      <c r="H14" s="27">
        <f>E14*停电时间计算!$E$4*$D14</f>
        <v>39.854452054794521</v>
      </c>
      <c r="I14" s="27">
        <f>F14*停电时间计算!$E$5*$D14</f>
        <v>162.83390410958904</v>
      </c>
      <c r="J14" s="27">
        <f>G14*停电时间计算!$E$6*60*$D14</f>
        <v>368.93835616438355</v>
      </c>
      <c r="K14" s="27">
        <f t="shared" si="3"/>
        <v>571.6267123287671</v>
      </c>
      <c r="M14" s="6" t="s">
        <v>4</v>
      </c>
      <c r="N14" s="7">
        <v>0.25</v>
      </c>
      <c r="O14" s="18">
        <f>N14*停电时间计算!$E$2/100</f>
        <v>1.2500000000000001E-2</v>
      </c>
      <c r="P14" s="7">
        <f t="shared" si="4"/>
        <v>1328.4817351598174</v>
      </c>
      <c r="Q14" s="20">
        <f t="shared" si="5"/>
        <v>493.43607305936075</v>
      </c>
      <c r="R14" s="20">
        <v>0</v>
      </c>
      <c r="S14" s="9">
        <f>P14*停电时间计算!$E$4*缺供电量计算!O14</f>
        <v>83.030108447488601</v>
      </c>
      <c r="T14" s="9">
        <f>Q14*停电时间计算!$E$5*O14</f>
        <v>339.23730022831052</v>
      </c>
      <c r="U14" s="9">
        <f>R14*(停电时间计算!$E$6*60)*O14</f>
        <v>0</v>
      </c>
      <c r="V14" s="9">
        <f t="shared" si="6"/>
        <v>422.26740867579912</v>
      </c>
      <c r="W14" s="7">
        <f t="shared" si="7"/>
        <v>993.89412100456616</v>
      </c>
      <c r="Z14" s="4"/>
    </row>
    <row r="15" spans="1:26" x14ac:dyDescent="0.25">
      <c r="A15" s="23" t="s">
        <v>18</v>
      </c>
      <c r="B15" s="23">
        <v>500</v>
      </c>
      <c r="C15" s="25">
        <f t="shared" si="1"/>
        <v>189.78310502283105</v>
      </c>
      <c r="D15" s="23">
        <f>1*停电时间计算!$E$3/100</f>
        <v>6.0000000000000001E-3</v>
      </c>
      <c r="E15" s="25">
        <f t="shared" si="0"/>
        <v>1328.4817351598174</v>
      </c>
      <c r="F15" s="26">
        <f>E15</f>
        <v>1328.4817351598174</v>
      </c>
      <c r="G15" s="26">
        <f>C15</f>
        <v>189.78310502283105</v>
      </c>
      <c r="H15" s="27">
        <f>E15*停电时间计算!$E$4*$D15</f>
        <v>39.854452054794521</v>
      </c>
      <c r="I15" s="27">
        <f>F15*停电时间计算!$E$5*$D15</f>
        <v>438.39897260273972</v>
      </c>
      <c r="J15" s="27">
        <f>G15*停电时间计算!$E$6*60*$D15</f>
        <v>614.89726027397262</v>
      </c>
      <c r="K15" s="27">
        <f t="shared" si="3"/>
        <v>1093.1506849315069</v>
      </c>
      <c r="M15" s="6" t="s">
        <v>5</v>
      </c>
      <c r="N15" s="7">
        <v>0.1</v>
      </c>
      <c r="O15" s="18">
        <f>N15*停电时间计算!$E$2/100</f>
        <v>5.0000000000000001E-3</v>
      </c>
      <c r="P15" s="7">
        <f t="shared" si="4"/>
        <v>1328.4817351598174</v>
      </c>
      <c r="Q15" s="20">
        <f t="shared" si="5"/>
        <v>493.43607305936075</v>
      </c>
      <c r="R15" s="20">
        <v>0</v>
      </c>
      <c r="S15" s="9">
        <f>P15*停电时间计算!$E$4*缺供电量计算!O15</f>
        <v>33.212043378995439</v>
      </c>
      <c r="T15" s="9">
        <f>Q15*停电时间计算!$E$5*O15</f>
        <v>135.69492009132421</v>
      </c>
      <c r="U15" s="9">
        <f>R15*(停电时间计算!$E$6*60)*O15</f>
        <v>0</v>
      </c>
      <c r="V15" s="9">
        <f t="shared" si="6"/>
        <v>168.90696347031965</v>
      </c>
      <c r="W15" s="7">
        <f t="shared" si="7"/>
        <v>1262.0576484018266</v>
      </c>
    </row>
    <row r="16" spans="1:26" x14ac:dyDescent="0.25">
      <c r="A16" s="23" t="s">
        <v>19</v>
      </c>
      <c r="B16" s="23">
        <v>350</v>
      </c>
      <c r="C16" s="25">
        <f t="shared" si="1"/>
        <v>132.84817351598173</v>
      </c>
      <c r="D16" s="23">
        <f>1*停电时间计算!$E$3/100</f>
        <v>6.0000000000000001E-3</v>
      </c>
      <c r="E16" s="25">
        <f t="shared" si="0"/>
        <v>1328.4817351598174</v>
      </c>
      <c r="F16" s="26">
        <f>SUM($C$16:$C$20)</f>
        <v>645.26255707762562</v>
      </c>
      <c r="G16" s="26">
        <f>C16</f>
        <v>132.84817351598173</v>
      </c>
      <c r="H16" s="27">
        <f>E16*停电时间计算!$E$4*$D16</f>
        <v>39.854452054794521</v>
      </c>
      <c r="I16" s="27">
        <f>F16*停电时间计算!$E$5*$D16</f>
        <v>212.93664383561645</v>
      </c>
      <c r="J16" s="27">
        <f>G16*停电时间计算!$E$6*60*$D16</f>
        <v>430.42808219178073</v>
      </c>
      <c r="K16" s="27">
        <f t="shared" si="3"/>
        <v>683.21917808219177</v>
      </c>
      <c r="M16" s="6" t="s">
        <v>6</v>
      </c>
      <c r="N16" s="7">
        <v>0.15</v>
      </c>
      <c r="O16" s="18">
        <f>N16*停电时间计算!$E$2/100</f>
        <v>7.4999999999999997E-3</v>
      </c>
      <c r="P16" s="7">
        <f t="shared" si="4"/>
        <v>1328.4817351598174</v>
      </c>
      <c r="Q16" s="20">
        <f>SUM($C$16:$C$20)</f>
        <v>645.26255707762562</v>
      </c>
      <c r="R16" s="20">
        <v>0</v>
      </c>
      <c r="S16" s="9">
        <f>P16*停电时间计算!$E$4*缺供电量计算!O16</f>
        <v>49.818065068493155</v>
      </c>
      <c r="T16" s="9">
        <f>Q16*停电时间计算!$E$5*O16</f>
        <v>266.17080479452056</v>
      </c>
      <c r="U16" s="9">
        <f>R16*(停电时间计算!$E$6*60)*O16</f>
        <v>0</v>
      </c>
      <c r="V16" s="9">
        <f t="shared" si="6"/>
        <v>315.98886986301375</v>
      </c>
      <c r="W16" s="7">
        <f t="shared" si="7"/>
        <v>999.20804794520552</v>
      </c>
    </row>
    <row r="17" spans="1:23" x14ac:dyDescent="0.25">
      <c r="A17" s="23" t="s">
        <v>20</v>
      </c>
      <c r="B17" s="23">
        <v>250</v>
      </c>
      <c r="C17" s="25">
        <f t="shared" si="1"/>
        <v>94.891552511415526</v>
      </c>
      <c r="D17" s="23">
        <f>1*停电时间计算!$E$3/100</f>
        <v>6.0000000000000001E-3</v>
      </c>
      <c r="E17" s="25">
        <f t="shared" si="0"/>
        <v>1328.4817351598174</v>
      </c>
      <c r="F17" s="26">
        <f t="shared" ref="F17:F20" si="8">SUM($C$16:$C$20)</f>
        <v>645.26255707762562</v>
      </c>
      <c r="G17" s="26">
        <f>C17+C18</f>
        <v>265.69634703196346</v>
      </c>
      <c r="H17" s="27">
        <f>E17*停电时间计算!$E$4*$D17</f>
        <v>39.854452054794521</v>
      </c>
      <c r="I17" s="27">
        <f>F17*停电时间计算!$E$5*$D17</f>
        <v>212.93664383561645</v>
      </c>
      <c r="J17" s="27">
        <f>G17*停电时间计算!$E$6*60*$D17</f>
        <v>860.85616438356146</v>
      </c>
      <c r="K17" s="27">
        <f t="shared" si="3"/>
        <v>1113.6472602739725</v>
      </c>
      <c r="M17" s="6" t="s">
        <v>7</v>
      </c>
      <c r="N17" s="7">
        <v>0.2</v>
      </c>
      <c r="O17" s="18">
        <f>N17*停电时间计算!$E$2/100</f>
        <v>0.01</v>
      </c>
      <c r="P17" s="7">
        <f t="shared" si="4"/>
        <v>1328.4817351598174</v>
      </c>
      <c r="Q17" s="20">
        <f t="shared" ref="Q17:Q20" si="9">SUM($C$16:$C$20)</f>
        <v>645.26255707762562</v>
      </c>
      <c r="R17" s="20">
        <v>0</v>
      </c>
      <c r="S17" s="9">
        <f>P17*停电时间计算!$E$4*缺供电量计算!O17</f>
        <v>66.424086757990878</v>
      </c>
      <c r="T17" s="9">
        <f>Q17*停电时间计算!$E$5*O17</f>
        <v>354.89440639269407</v>
      </c>
      <c r="U17" s="9">
        <f>R17*(停电时间计算!$E$6*60)*O17</f>
        <v>0</v>
      </c>
      <c r="V17" s="9">
        <f t="shared" si="6"/>
        <v>421.31849315068496</v>
      </c>
      <c r="W17" s="7">
        <f t="shared" si="7"/>
        <v>1534.9657534246576</v>
      </c>
    </row>
    <row r="18" spans="1:23" x14ac:dyDescent="0.25">
      <c r="A18" s="23" t="s">
        <v>21</v>
      </c>
      <c r="B18" s="23">
        <v>450</v>
      </c>
      <c r="C18" s="25">
        <f t="shared" si="1"/>
        <v>170.80479452054794</v>
      </c>
      <c r="D18" s="23">
        <f>1*停电时间计算!$E$3/100</f>
        <v>6.0000000000000001E-3</v>
      </c>
      <c r="E18" s="25">
        <f t="shared" si="0"/>
        <v>1328.4817351598174</v>
      </c>
      <c r="F18" s="26">
        <f t="shared" si="8"/>
        <v>645.26255707762562</v>
      </c>
      <c r="G18" s="26">
        <f>C18</f>
        <v>170.80479452054794</v>
      </c>
      <c r="H18" s="27">
        <f>E18*停电时间计算!$E$4*$D18</f>
        <v>39.854452054794521</v>
      </c>
      <c r="I18" s="27">
        <f>F18*停电时间计算!$E$5*$D18</f>
        <v>212.93664383561645</v>
      </c>
      <c r="J18" s="27">
        <f>G18*停电时间计算!$E$6*60*$D18</f>
        <v>553.40753424657544</v>
      </c>
      <c r="K18" s="27">
        <f t="shared" si="3"/>
        <v>806.19863013698637</v>
      </c>
      <c r="M18" s="6" t="s">
        <v>8</v>
      </c>
      <c r="N18" s="7">
        <v>0.25</v>
      </c>
      <c r="O18" s="18">
        <f>N18*停电时间计算!$E$2/100</f>
        <v>1.2500000000000001E-2</v>
      </c>
      <c r="P18" s="7">
        <f t="shared" si="4"/>
        <v>1328.4817351598174</v>
      </c>
      <c r="Q18" s="20">
        <f t="shared" si="9"/>
        <v>645.26255707762562</v>
      </c>
      <c r="R18" s="20">
        <f>C18</f>
        <v>170.80479452054794</v>
      </c>
      <c r="S18" s="9">
        <f>P18*停电时间计算!$E$4*缺供电量计算!O18</f>
        <v>83.030108447488601</v>
      </c>
      <c r="T18" s="9">
        <f>Q18*停电时间计算!$E$5*O18</f>
        <v>443.61800799086762</v>
      </c>
      <c r="U18" s="9">
        <f>R18*(停电时间计算!$E$6*60)*O18</f>
        <v>1152.9323630136987</v>
      </c>
      <c r="V18" s="9">
        <f t="shared" si="6"/>
        <v>1679.580479452055</v>
      </c>
      <c r="W18" s="7">
        <f t="shared" si="7"/>
        <v>2485.7791095890416</v>
      </c>
    </row>
    <row r="19" spans="1:23" x14ac:dyDescent="0.25">
      <c r="A19" s="23" t="s">
        <v>22</v>
      </c>
      <c r="B19" s="23">
        <v>0</v>
      </c>
      <c r="C19" s="25">
        <f t="shared" si="1"/>
        <v>0</v>
      </c>
      <c r="D19" s="23">
        <f>1*停电时间计算!$E$3/100</f>
        <v>6.0000000000000001E-3</v>
      </c>
      <c r="E19" s="25">
        <f t="shared" si="0"/>
        <v>1328.4817351598174</v>
      </c>
      <c r="F19" s="26">
        <f t="shared" si="8"/>
        <v>645.26255707762562</v>
      </c>
      <c r="G19" s="26">
        <f>C20</f>
        <v>246.71803652968038</v>
      </c>
      <c r="H19" s="27">
        <f>E19*停电时间计算!$E$4*$D19</f>
        <v>39.854452054794521</v>
      </c>
      <c r="I19" s="27">
        <f>F19*停电时间计算!$E$5*$D19</f>
        <v>212.93664383561645</v>
      </c>
      <c r="J19" s="27">
        <f>G19*停电时间计算!$E$6*60*$D19</f>
        <v>799.36643835616451</v>
      </c>
      <c r="K19" s="27">
        <f t="shared" si="3"/>
        <v>1052.1575342465756</v>
      </c>
      <c r="M19" s="6" t="s">
        <v>9</v>
      </c>
      <c r="N19" s="7">
        <v>0.25</v>
      </c>
      <c r="O19" s="18">
        <f>N19*停电时间计算!$E$2/100</f>
        <v>1.2500000000000001E-2</v>
      </c>
      <c r="P19" s="7">
        <f t="shared" si="4"/>
        <v>1328.4817351598174</v>
      </c>
      <c r="Q19" s="20">
        <f t="shared" si="9"/>
        <v>645.26255707762562</v>
      </c>
      <c r="R19" s="20">
        <v>0</v>
      </c>
      <c r="S19" s="9">
        <f>P19*停电时间计算!$E$4*缺供电量计算!O19</f>
        <v>83.030108447488601</v>
      </c>
      <c r="T19" s="9">
        <f>Q19*停电时间计算!$E$5*O19</f>
        <v>443.61800799086762</v>
      </c>
      <c r="U19" s="9">
        <f>R19*(停电时间计算!$E$6*60)*O19</f>
        <v>0</v>
      </c>
      <c r="V19" s="9">
        <f t="shared" si="6"/>
        <v>526.64811643835628</v>
      </c>
      <c r="W19" s="7">
        <f t="shared" si="7"/>
        <v>1578.8056506849318</v>
      </c>
    </row>
    <row r="20" spans="1:23" x14ac:dyDescent="0.25">
      <c r="A20" s="23" t="s">
        <v>23</v>
      </c>
      <c r="B20" s="23">
        <v>650</v>
      </c>
      <c r="C20" s="25">
        <f t="shared" si="1"/>
        <v>246.71803652968038</v>
      </c>
      <c r="D20" s="23">
        <f>1*停电时间计算!$E$3/100</f>
        <v>6.0000000000000001E-3</v>
      </c>
      <c r="E20" s="25">
        <f t="shared" si="0"/>
        <v>1328.4817351598174</v>
      </c>
      <c r="F20" s="26">
        <f t="shared" si="8"/>
        <v>645.26255707762562</v>
      </c>
      <c r="G20" s="26">
        <f>C20</f>
        <v>246.71803652968038</v>
      </c>
      <c r="H20" s="27">
        <f>E20*停电时间计算!$E$4*$D20</f>
        <v>39.854452054794521</v>
      </c>
      <c r="I20" s="27">
        <f>F20*停电时间计算!$E$5*$D20</f>
        <v>212.93664383561645</v>
      </c>
      <c r="J20" s="27">
        <f>G20*停电时间计算!$E$6*60*$D20</f>
        <v>799.36643835616451</v>
      </c>
      <c r="K20" s="27">
        <f t="shared" si="3"/>
        <v>1052.1575342465756</v>
      </c>
      <c r="M20" s="6" t="s">
        <v>10</v>
      </c>
      <c r="N20" s="7">
        <v>0.15</v>
      </c>
      <c r="O20" s="18">
        <f>N20*停电时间计算!$E$2/100</f>
        <v>7.4999999999999997E-3</v>
      </c>
      <c r="P20" s="7">
        <f t="shared" si="4"/>
        <v>1328.4817351598174</v>
      </c>
      <c r="Q20" s="20">
        <f t="shared" si="9"/>
        <v>645.26255707762562</v>
      </c>
      <c r="R20" s="20">
        <f>C20</f>
        <v>246.71803652968038</v>
      </c>
      <c r="S20" s="9">
        <f>P20*停电时间计算!$E$4*缺供电量计算!O20</f>
        <v>49.818065068493155</v>
      </c>
      <c r="T20" s="9">
        <f>Q20*停电时间计算!$E$5*O20</f>
        <v>266.17080479452056</v>
      </c>
      <c r="U20" s="9">
        <f>R20*(停电时间计算!$E$6*60)*O20</f>
        <v>999.20804794520564</v>
      </c>
      <c r="V20" s="9">
        <f t="shared" si="6"/>
        <v>1315.1969178082195</v>
      </c>
      <c r="W20" s="7">
        <f t="shared" si="7"/>
        <v>2367.3544520547948</v>
      </c>
    </row>
    <row r="21" spans="1:23" x14ac:dyDescent="0.25">
      <c r="A21" s="24" t="s">
        <v>12</v>
      </c>
      <c r="B21" s="24">
        <f>SUM(B11:B20)</f>
        <v>3500</v>
      </c>
      <c r="C21" s="28">
        <f t="shared" ref="C21" si="10">B21*$D$3*$D$2/8760</f>
        <v>1328.4817351598174</v>
      </c>
      <c r="D21" s="29">
        <f>SUM(D11:D20)</f>
        <v>5.9999999999999991E-2</v>
      </c>
      <c r="E21" s="24"/>
      <c r="F21" s="23"/>
      <c r="G21" s="23"/>
      <c r="H21" s="30">
        <f>SUM(H11:H20)</f>
        <v>398.5445205479453</v>
      </c>
      <c r="I21" s="30">
        <f t="shared" ref="I21:K21" si="11">SUM(I11:I20)</f>
        <v>2154.4178082191784</v>
      </c>
      <c r="J21" s="30">
        <f t="shared" si="11"/>
        <v>6517.91095890411</v>
      </c>
      <c r="K21" s="30">
        <f t="shared" si="11"/>
        <v>9070.8732876712329</v>
      </c>
      <c r="M21" s="10" t="s">
        <v>12</v>
      </c>
      <c r="N21" s="11">
        <f>SUM(N11:N20)</f>
        <v>1.7999999999999998</v>
      </c>
      <c r="O21" s="19">
        <f>SUM(O11:O20)</f>
        <v>0.09</v>
      </c>
      <c r="P21" s="12"/>
      <c r="Q21" s="12"/>
      <c r="R21" s="12"/>
      <c r="S21" s="13">
        <f t="shared" ref="S21:W21" si="12">SUM(S11:S20)</f>
        <v>597.81678082191786</v>
      </c>
      <c r="T21" s="13">
        <f t="shared" si="12"/>
        <v>2860.0313926940644</v>
      </c>
      <c r="U21" s="13">
        <f t="shared" si="12"/>
        <v>3586.9006849315069</v>
      </c>
      <c r="V21" s="13">
        <f t="shared" si="12"/>
        <v>7044.7488584474904</v>
      </c>
      <c r="W21" s="11">
        <f t="shared" si="12"/>
        <v>16115.622146118723</v>
      </c>
    </row>
    <row r="23" spans="1:23" x14ac:dyDescent="0.25">
      <c r="A23" s="44" t="s">
        <v>71</v>
      </c>
    </row>
    <row r="25" spans="1:23" x14ac:dyDescent="0.25">
      <c r="A25" s="44" t="s">
        <v>67</v>
      </c>
    </row>
    <row r="26" spans="1:23" x14ac:dyDescent="0.25">
      <c r="A26" s="44" t="s">
        <v>68</v>
      </c>
    </row>
    <row r="27" spans="1:23" x14ac:dyDescent="0.25">
      <c r="A27" s="44" t="s">
        <v>72</v>
      </c>
    </row>
    <row r="28" spans="1:23" x14ac:dyDescent="0.25">
      <c r="A28" s="44" t="s">
        <v>73</v>
      </c>
    </row>
    <row r="29" spans="1:23" x14ac:dyDescent="0.25">
      <c r="A29" s="44" t="s">
        <v>74</v>
      </c>
    </row>
    <row r="30" spans="1:23" x14ac:dyDescent="0.25">
      <c r="A30" s="44" t="s">
        <v>75</v>
      </c>
    </row>
  </sheetData>
  <mergeCells count="29">
    <mergeCell ref="S9:S10"/>
    <mergeCell ref="T9:U9"/>
    <mergeCell ref="C8:C10"/>
    <mergeCell ref="K9:K10"/>
    <mergeCell ref="P9:P10"/>
    <mergeCell ref="Q9:R9"/>
    <mergeCell ref="D8:D10"/>
    <mergeCell ref="E8:G8"/>
    <mergeCell ref="H8:K8"/>
    <mergeCell ref="E9:E10"/>
    <mergeCell ref="F9:G9"/>
    <mergeCell ref="H9:H10"/>
    <mergeCell ref="I9:J9"/>
    <mergeCell ref="V9:V10"/>
    <mergeCell ref="S8:V8"/>
    <mergeCell ref="A1:D1"/>
    <mergeCell ref="A2:C2"/>
    <mergeCell ref="A3:C3"/>
    <mergeCell ref="A4:D4"/>
    <mergeCell ref="M8:M10"/>
    <mergeCell ref="N8:N10"/>
    <mergeCell ref="O8:O10"/>
    <mergeCell ref="P8:R8"/>
    <mergeCell ref="U1:X1"/>
    <mergeCell ref="U2:X2"/>
    <mergeCell ref="U3:X3"/>
    <mergeCell ref="W8:W10"/>
    <mergeCell ref="A8:A10"/>
    <mergeCell ref="B8:B10"/>
  </mergeCells>
  <phoneticPr fontId="8" type="noConversion"/>
  <pageMargins left="0.7" right="0.7" top="0.75" bottom="0.75" header="0.3" footer="0.3"/>
  <pageSetup paperSize="9" orientation="portrait" horizontalDpi="4294967293" verticalDpi="1200"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11.5703125" defaultRowHeight="15" x14ac:dyDescent="0.25"/>
  <sheetData/>
  <phoneticPr fontId="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ColWidth="11.5703125" defaultRowHeight="15" x14ac:dyDescent="0.25"/>
  <sheetData/>
  <phoneticPr fontId="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ColWidth="11.5703125" defaultRowHeight="15" x14ac:dyDescent="0.25"/>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公安街81</vt:lpstr>
      <vt:lpstr>南京路68</vt:lpstr>
      <vt:lpstr>南京路64</vt:lpstr>
      <vt:lpstr>公安街77</vt:lpstr>
      <vt:lpstr>停电时间计算</vt:lpstr>
      <vt:lpstr>缺供电量计算</vt:lpstr>
      <vt:lpstr>Feuil4</vt:lpstr>
      <vt:lpstr>Feuil2</vt:lpstr>
      <vt:lpstr>Feuil3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Alain COIFFIER</dc:creator>
  <cp:lastModifiedBy>法电7</cp:lastModifiedBy>
  <dcterms:created xsi:type="dcterms:W3CDTF">2018-05-19T14:19:05Z</dcterms:created>
  <dcterms:modified xsi:type="dcterms:W3CDTF">2018-12-06T09:05:53Z</dcterms:modified>
</cp:coreProperties>
</file>