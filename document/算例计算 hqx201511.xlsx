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65"/>
  </bookViews>
  <sheets>
    <sheet name="设施故障率" sheetId="4" r:id="rId1"/>
    <sheet name="算例图" sheetId="6" r:id="rId2"/>
    <sheet name="数据1" sheetId="1" r:id="rId3"/>
    <sheet name="数据2" sheetId="2" r:id="rId4"/>
    <sheet name="故障后果模式分析表" sheetId="3" r:id="rId5"/>
    <sheet name="可靠性指标" sheetId="5" r:id="rId6"/>
  </sheets>
  <definedNames>
    <definedName name="_xlnm.Print_Area" localSheetId="5">可靠性指标!$C$1:$P$19</definedName>
  </definedNames>
  <calcPr calcId="144525"/>
</workbook>
</file>

<file path=xl/sharedStrings.xml><?xml version="1.0" encoding="utf-8"?>
<sst xmlns="http://schemas.openxmlformats.org/spreadsheetml/2006/main" count="138">
  <si>
    <t>序号</t>
  </si>
  <si>
    <t>设施类别</t>
  </si>
  <si>
    <t>设施故障停电率
（次/百千米百台·年）</t>
  </si>
  <si>
    <t>平均故障
修复时间
（h）</t>
  </si>
  <si>
    <t>平均故障
定位隔离时间
(h)</t>
  </si>
  <si>
    <t>平均故障
停电联络开关切换时间
(h)</t>
  </si>
  <si>
    <t>平均故障段上游
恢复供电操作时间
(h)</t>
  </si>
  <si>
    <t>平均预安排
停电隔离时间
(h)</t>
  </si>
  <si>
    <t>平均预安排
停电联络开关切换时间
(h)</t>
  </si>
  <si>
    <t>平均预安排
停电线段上游恢复供电操作时间
(h)</t>
  </si>
  <si>
    <t>系统预安排
停电率
(次/百千米·年)</t>
  </si>
  <si>
    <t>平均预安排
停运持续时间
(h)</t>
  </si>
  <si>
    <t>架空线</t>
  </si>
  <si>
    <t>电缆</t>
  </si>
  <si>
    <t>断路器</t>
  </si>
  <si>
    <t>负荷开关</t>
  </si>
  <si>
    <t>隔离开关</t>
  </si>
  <si>
    <t>熔断器</t>
  </si>
  <si>
    <t>变压器</t>
  </si>
  <si>
    <t>设施</t>
  </si>
  <si>
    <t>长度（km）</t>
  </si>
  <si>
    <t>设施故障停电率
（次/年）</t>
  </si>
  <si>
    <r>
      <rPr>
        <sz val="10"/>
        <color rgb="FF000000"/>
        <rFont val="宋体"/>
        <charset val="134"/>
      </rPr>
      <t>平均故障修复时间（</t>
    </r>
    <r>
      <rPr>
        <sz val="10"/>
        <color rgb="FF000000"/>
        <rFont val="Times New Roman"/>
        <charset val="134"/>
      </rPr>
      <t>h</t>
    </r>
    <r>
      <rPr>
        <sz val="10"/>
        <color rgb="FF000000"/>
        <rFont val="宋体"/>
        <charset val="134"/>
      </rPr>
      <t>）</t>
    </r>
  </si>
  <si>
    <t>用户数（户）</t>
  </si>
  <si>
    <r>
      <rPr>
        <sz val="10"/>
        <color rgb="FF000000"/>
        <rFont val="宋体"/>
        <charset val="134"/>
      </rPr>
      <t>负荷容量（</t>
    </r>
    <r>
      <rPr>
        <sz val="10"/>
        <color rgb="FF000000"/>
        <rFont val="Times New Roman"/>
        <charset val="134"/>
      </rPr>
      <t>kW</t>
    </r>
    <r>
      <rPr>
        <sz val="10"/>
        <color rgb="FF000000"/>
        <rFont val="宋体"/>
        <charset val="134"/>
      </rPr>
      <t>）</t>
    </r>
  </si>
  <si>
    <r>
      <rPr>
        <sz val="10"/>
        <color rgb="FF000000"/>
        <rFont val="宋体"/>
        <charset val="134"/>
      </rPr>
      <t>平均预安排停运持续时间</t>
    </r>
    <r>
      <rPr>
        <sz val="9"/>
        <color rgb="FF000000"/>
        <rFont val="Times New Roman"/>
        <charset val="134"/>
      </rPr>
      <t>(h)</t>
    </r>
  </si>
  <si>
    <t>预安排停电次数
(次/年)</t>
  </si>
  <si>
    <t>预安排停电时间
(h)</t>
  </si>
  <si>
    <t>供电干线</t>
  </si>
  <si>
    <t>0—1</t>
  </si>
  <si>
    <t>1—2</t>
  </si>
  <si>
    <t>2—3</t>
  </si>
  <si>
    <t>3—4</t>
  </si>
  <si>
    <t>4—5</t>
  </si>
  <si>
    <t>5—6</t>
  </si>
  <si>
    <t>6—7</t>
  </si>
  <si>
    <t>5—8</t>
  </si>
  <si>
    <t>分支线</t>
  </si>
  <si>
    <t>2—a</t>
  </si>
  <si>
    <t>4—b</t>
  </si>
  <si>
    <t>8—c</t>
  </si>
  <si>
    <t>8—d</t>
  </si>
  <si>
    <t>6—e</t>
  </si>
  <si>
    <t>设备</t>
  </si>
  <si>
    <t>CB4</t>
  </si>
  <si>
    <t>CB1</t>
  </si>
  <si>
    <t>CB2</t>
  </si>
  <si>
    <t>CB3</t>
  </si>
  <si>
    <t>S1</t>
  </si>
  <si>
    <t>S2</t>
  </si>
  <si>
    <t>LS1</t>
  </si>
  <si>
    <t>LS2</t>
  </si>
  <si>
    <t>F5</t>
  </si>
  <si>
    <t>Ta</t>
  </si>
  <si>
    <t>Tb</t>
  </si>
  <si>
    <t>Tc</t>
  </si>
  <si>
    <t>Td</t>
  </si>
  <si>
    <t>Te</t>
  </si>
  <si>
    <t>Fa</t>
  </si>
  <si>
    <t>Fb</t>
  </si>
  <si>
    <t>Fc</t>
  </si>
  <si>
    <t>Fd</t>
  </si>
  <si>
    <t>Fe</t>
  </si>
  <si>
    <t>S3</t>
  </si>
  <si>
    <t>平均故障定位隔离时间
(h)</t>
  </si>
  <si>
    <r>
      <rPr>
        <sz val="9"/>
        <color rgb="FF000000"/>
        <rFont val="宋体"/>
        <charset val="134"/>
      </rPr>
      <t xml:space="preserve">平均故障停电联络开关切换时间
</t>
    </r>
    <r>
      <rPr>
        <sz val="9"/>
        <color rgb="FF000000"/>
        <rFont val="Times New Roman"/>
        <charset val="134"/>
      </rPr>
      <t>(h)</t>
    </r>
  </si>
  <si>
    <r>
      <rPr>
        <sz val="9"/>
        <color rgb="FF000000"/>
        <rFont val="宋体"/>
        <charset val="134"/>
      </rPr>
      <t xml:space="preserve">平均故障段上游恢复供电操作时间
</t>
    </r>
    <r>
      <rPr>
        <sz val="9"/>
        <color rgb="FF000000"/>
        <rFont val="Times New Roman"/>
        <charset val="134"/>
      </rPr>
      <t>(h)</t>
    </r>
  </si>
  <si>
    <t>开关设备</t>
  </si>
  <si>
    <t>平均预安排停电隔离时间
(h)</t>
  </si>
  <si>
    <r>
      <rPr>
        <sz val="9"/>
        <color rgb="FF000000"/>
        <rFont val="宋体"/>
        <charset val="134"/>
      </rPr>
      <t xml:space="preserve">平均预安排停电联络开关切换时间
</t>
    </r>
    <r>
      <rPr>
        <sz val="9"/>
        <color rgb="FF000000"/>
        <rFont val="Times New Roman"/>
        <charset val="134"/>
      </rPr>
      <t>(h)</t>
    </r>
  </si>
  <si>
    <r>
      <rPr>
        <sz val="9"/>
        <color rgb="FF000000"/>
        <rFont val="宋体"/>
        <charset val="134"/>
      </rPr>
      <t xml:space="preserve">平均预安排停电线段上游恢复供电操作时间
</t>
    </r>
    <r>
      <rPr>
        <sz val="9"/>
        <color rgb="FF000000"/>
        <rFont val="Times New Roman"/>
        <charset val="134"/>
      </rPr>
      <t>(h)</t>
    </r>
  </si>
  <si>
    <t>预安排停电率
(次/百公里年)</t>
  </si>
  <si>
    <r>
      <rPr>
        <sz val="9"/>
        <color rgb="FF000000"/>
        <rFont val="宋体"/>
        <charset val="134"/>
      </rPr>
      <t xml:space="preserve">平均预安排停运持续时间
</t>
    </r>
    <r>
      <rPr>
        <sz val="9"/>
        <color rgb="FF000000"/>
        <rFont val="Times New Roman"/>
        <charset val="134"/>
      </rPr>
      <t>(h)</t>
    </r>
  </si>
  <si>
    <t>---</t>
  </si>
  <si>
    <t>架空（电缆）线路</t>
  </si>
  <si>
    <r>
      <rPr>
        <sz val="10.5"/>
        <color rgb="FF000000"/>
        <rFont val="黑体"/>
        <charset val="134"/>
      </rPr>
      <t>表</t>
    </r>
    <r>
      <rPr>
        <sz val="10.5"/>
        <color rgb="FF000000"/>
        <rFont val="Times New Roman"/>
        <charset val="134"/>
      </rPr>
      <t xml:space="preserve">C.3 </t>
    </r>
    <r>
      <rPr>
        <sz val="10.5"/>
        <color rgb="FF000000"/>
        <rFont val="黑体"/>
        <charset val="134"/>
      </rPr>
      <t>故障后果模式分析表</t>
    </r>
  </si>
  <si>
    <r>
      <rPr>
        <sz val="9"/>
        <color rgb="FF000000"/>
        <rFont val="宋体"/>
        <charset val="134"/>
      </rPr>
      <t>负荷点</t>
    </r>
    <r>
      <rPr>
        <sz val="9"/>
        <color rgb="FF000000"/>
        <rFont val="Times New Roman"/>
        <charset val="134"/>
      </rPr>
      <t>a</t>
    </r>
  </si>
  <si>
    <r>
      <rPr>
        <sz val="9"/>
        <color rgb="FF000000"/>
        <rFont val="宋体"/>
        <charset val="134"/>
      </rPr>
      <t>负荷点</t>
    </r>
    <r>
      <rPr>
        <sz val="9"/>
        <color rgb="FF000000"/>
        <rFont val="Times New Roman"/>
        <charset val="134"/>
      </rPr>
      <t>b</t>
    </r>
  </si>
  <si>
    <r>
      <rPr>
        <sz val="9"/>
        <color rgb="FF000000"/>
        <rFont val="宋体"/>
        <charset val="134"/>
      </rPr>
      <t>负荷点</t>
    </r>
    <r>
      <rPr>
        <sz val="9"/>
        <color rgb="FF000000"/>
        <rFont val="Times New Roman"/>
        <charset val="134"/>
      </rPr>
      <t>c</t>
    </r>
  </si>
  <si>
    <r>
      <rPr>
        <sz val="9"/>
        <color rgb="FF000000"/>
        <rFont val="宋体"/>
        <charset val="134"/>
      </rPr>
      <t>负荷点</t>
    </r>
    <r>
      <rPr>
        <sz val="9"/>
        <color rgb="FF000000"/>
        <rFont val="Times New Roman"/>
        <charset val="134"/>
      </rPr>
      <t>d</t>
    </r>
  </si>
  <si>
    <r>
      <rPr>
        <sz val="9"/>
        <color rgb="FF000000"/>
        <rFont val="宋体"/>
        <charset val="134"/>
      </rPr>
      <t>负荷点</t>
    </r>
    <r>
      <rPr>
        <sz val="9"/>
        <color rgb="FF000000"/>
        <rFont val="Times New Roman"/>
        <charset val="134"/>
      </rPr>
      <t>e</t>
    </r>
  </si>
  <si>
    <r>
      <rPr>
        <sz val="9"/>
        <color rgb="FF000000"/>
        <rFont val="Times New Roman"/>
        <charset val="134"/>
      </rPr>
      <t>λ</t>
    </r>
    <r>
      <rPr>
        <vertAlign val="subscript"/>
        <sz val="9"/>
        <color rgb="FF000000"/>
        <rFont val="Times New Roman"/>
        <charset val="134"/>
      </rPr>
      <t>LP</t>
    </r>
  </si>
  <si>
    <r>
      <rPr>
        <sz val="9"/>
        <color rgb="FF000000"/>
        <rFont val="Times New Roman"/>
        <charset val="134"/>
      </rPr>
      <t>r</t>
    </r>
    <r>
      <rPr>
        <vertAlign val="subscript"/>
        <sz val="9"/>
        <color rgb="FF000000"/>
        <rFont val="Times New Roman"/>
        <charset val="134"/>
      </rPr>
      <t>LP</t>
    </r>
  </si>
  <si>
    <r>
      <rPr>
        <sz val="9"/>
        <color rgb="FF000000"/>
        <rFont val="Times New Roman"/>
        <charset val="134"/>
      </rPr>
      <t>u</t>
    </r>
    <r>
      <rPr>
        <vertAlign val="subscript"/>
        <sz val="9"/>
        <color rgb="FF000000"/>
        <rFont val="Times New Roman"/>
        <charset val="134"/>
      </rPr>
      <t>LP</t>
    </r>
  </si>
  <si>
    <r>
      <rPr>
        <sz val="9"/>
        <color rgb="FF000000"/>
        <rFont val="宋体"/>
        <charset val="134"/>
      </rPr>
      <t>次</t>
    </r>
    <r>
      <rPr>
        <sz val="9"/>
        <color rgb="FF000000"/>
        <rFont val="Times New Roman"/>
        <charset val="134"/>
      </rPr>
      <t>/</t>
    </r>
    <r>
      <rPr>
        <sz val="9"/>
        <color rgb="FF000000"/>
        <rFont val="宋体"/>
        <charset val="134"/>
      </rPr>
      <t>年</t>
    </r>
  </si>
  <si>
    <r>
      <rPr>
        <sz val="9"/>
        <color rgb="FF000000"/>
        <rFont val="Times New Roman"/>
        <charset val="134"/>
      </rPr>
      <t>h/</t>
    </r>
    <r>
      <rPr>
        <sz val="9"/>
        <color rgb="FF000000"/>
        <rFont val="宋体"/>
        <charset val="134"/>
      </rPr>
      <t>次</t>
    </r>
  </si>
  <si>
    <r>
      <rPr>
        <sz val="9"/>
        <color rgb="FF000000"/>
        <rFont val="Times New Roman"/>
        <charset val="134"/>
      </rPr>
      <t>h/</t>
    </r>
    <r>
      <rPr>
        <sz val="9"/>
        <color rgb="FF000000"/>
        <rFont val="宋体"/>
        <charset val="134"/>
      </rPr>
      <t>年</t>
    </r>
  </si>
  <si>
    <t>干线设施故障</t>
  </si>
  <si>
    <t>分支线设施故障</t>
  </si>
  <si>
    <t>故障</t>
  </si>
  <si>
    <t>小计</t>
  </si>
  <si>
    <t>预安排停运</t>
  </si>
  <si>
    <t>预安排</t>
  </si>
  <si>
    <t>总计</t>
  </si>
  <si>
    <t>———</t>
  </si>
  <si>
    <t>其中故障停电占比</t>
  </si>
  <si>
    <t>预安排停电占比</t>
  </si>
  <si>
    <r>
      <rPr>
        <sz val="10.5"/>
        <color rgb="FF000000"/>
        <rFont val="黑体"/>
        <charset val="134"/>
      </rPr>
      <t>表</t>
    </r>
    <r>
      <rPr>
        <sz val="10.5"/>
        <color rgb="FF000000"/>
        <rFont val="Times New Roman"/>
        <charset val="134"/>
      </rPr>
      <t xml:space="preserve">C.4 </t>
    </r>
    <r>
      <rPr>
        <sz val="10.5"/>
        <color rgb="FF000000"/>
        <rFont val="黑体"/>
        <charset val="134"/>
      </rPr>
      <t>负荷点可靠性指标</t>
    </r>
  </si>
  <si>
    <t>公式</t>
  </si>
  <si>
    <t>负荷点指标</t>
  </si>
  <si>
    <t>负荷点e</t>
  </si>
  <si>
    <t>（0）</t>
  </si>
  <si>
    <t>户数</t>
  </si>
  <si>
    <t>（1）</t>
  </si>
  <si>
    <t>容量</t>
  </si>
  <si>
    <t>（2）</t>
  </si>
  <si>
    <t>查分析表</t>
  </si>
  <si>
    <r>
      <rPr>
        <sz val="9"/>
        <color rgb="FF000000"/>
        <rFont val="宋体"/>
        <charset val="134"/>
      </rPr>
      <t>负荷点停电率期望值</t>
    </r>
    <r>
      <rPr>
        <sz val="9"/>
        <color rgb="FF000000"/>
        <rFont val="Times New Roman"/>
        <charset val="134"/>
      </rPr>
      <t>λ</t>
    </r>
    <r>
      <rPr>
        <vertAlign val="subscript"/>
        <sz val="9"/>
        <color rgb="FF000000"/>
        <rFont val="Times New Roman"/>
        <charset val="134"/>
      </rPr>
      <t>LP</t>
    </r>
    <r>
      <rPr>
        <sz val="9"/>
        <color rgb="FF000000"/>
        <rFont val="宋体"/>
        <charset val="134"/>
      </rPr>
      <t>（次</t>
    </r>
    <r>
      <rPr>
        <sz val="9"/>
        <color rgb="FF000000"/>
        <rFont val="Times New Roman"/>
        <charset val="134"/>
      </rPr>
      <t>/</t>
    </r>
    <r>
      <rPr>
        <sz val="9"/>
        <color rgb="FF000000"/>
        <rFont val="宋体"/>
        <charset val="134"/>
      </rPr>
      <t>年）</t>
    </r>
  </si>
  <si>
    <t>（3）</t>
  </si>
  <si>
    <r>
      <rPr>
        <sz val="9"/>
        <color rgb="FF000000"/>
        <rFont val="宋体"/>
        <charset val="134"/>
      </rPr>
      <t>负荷点停电时间期望值</t>
    </r>
    <r>
      <rPr>
        <sz val="9"/>
        <color rgb="FF000000"/>
        <rFont val="Times New Roman"/>
        <charset val="134"/>
      </rPr>
      <t>u</t>
    </r>
    <r>
      <rPr>
        <vertAlign val="subscript"/>
        <sz val="9"/>
        <color rgb="FF000000"/>
        <rFont val="Times New Roman"/>
        <charset val="134"/>
      </rPr>
      <t>LP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h/</t>
    </r>
    <r>
      <rPr>
        <sz val="9"/>
        <color rgb="FF000000"/>
        <rFont val="宋体"/>
        <charset val="134"/>
      </rPr>
      <t>年</t>
    </r>
    <r>
      <rPr>
        <sz val="9"/>
        <color rgb="FF000000"/>
        <rFont val="Times New Roman"/>
        <charset val="134"/>
      </rPr>
      <t>)</t>
    </r>
  </si>
  <si>
    <t>（4）</t>
  </si>
  <si>
    <t>= （6）/Σ（1）</t>
  </si>
  <si>
    <r>
      <rPr>
        <sz val="9"/>
        <color rgb="FF000000"/>
        <rFont val="宋体"/>
        <charset val="134"/>
      </rPr>
      <t>负荷点等效系统停电小时数</t>
    </r>
    <r>
      <rPr>
        <sz val="9"/>
        <color rgb="FF000000"/>
        <rFont val="Times New Roman"/>
        <charset val="134"/>
      </rPr>
      <t>SIEH-LP (h/</t>
    </r>
    <r>
      <rPr>
        <sz val="9"/>
        <color rgb="FF000000"/>
        <rFont val="宋体"/>
        <charset val="134"/>
      </rPr>
      <t>年</t>
    </r>
    <r>
      <rPr>
        <sz val="9"/>
        <color rgb="FF000000"/>
        <rFont val="Times New Roman"/>
        <charset val="134"/>
      </rPr>
      <t>)</t>
    </r>
  </si>
  <si>
    <t>（5）</t>
  </si>
  <si>
    <t>= 1-（3）/8760</t>
  </si>
  <si>
    <r>
      <rPr>
        <sz val="9"/>
        <color rgb="FF000000"/>
        <rFont val="宋体"/>
        <charset val="134"/>
      </rPr>
      <t>负荷点平均供电可用率</t>
    </r>
    <r>
      <rPr>
        <sz val="9"/>
        <color rgb="FF000000"/>
        <rFont val="Times New Roman"/>
        <charset val="134"/>
      </rPr>
      <t>ASAI-LP</t>
    </r>
  </si>
  <si>
    <t>（6）</t>
  </si>
  <si>
    <t>=（1）*（3）</t>
  </si>
  <si>
    <r>
      <rPr>
        <sz val="9"/>
        <color rgb="FF000000"/>
        <rFont val="宋体"/>
        <charset val="134"/>
      </rPr>
      <t>负荷点缺供电量</t>
    </r>
    <r>
      <rPr>
        <sz val="9"/>
        <color rgb="FF000000"/>
        <rFont val="Times New Roman"/>
        <charset val="134"/>
      </rPr>
      <t>ENS-LP(kWh/</t>
    </r>
    <r>
      <rPr>
        <sz val="9"/>
        <color rgb="FF000000"/>
        <rFont val="宋体"/>
        <charset val="134"/>
      </rPr>
      <t>年</t>
    </r>
    <r>
      <rPr>
        <sz val="9"/>
        <color rgb="FF000000"/>
        <rFont val="Times New Roman"/>
        <charset val="134"/>
      </rPr>
      <t>)</t>
    </r>
  </si>
  <si>
    <r>
      <rPr>
        <sz val="10.5"/>
        <color rgb="FF000000"/>
        <rFont val="黑体"/>
        <charset val="134"/>
      </rPr>
      <t>表</t>
    </r>
    <r>
      <rPr>
        <sz val="10.5"/>
        <color rgb="FF000000"/>
        <rFont val="Times New Roman"/>
        <charset val="134"/>
      </rPr>
      <t xml:space="preserve">C.5 </t>
    </r>
    <r>
      <rPr>
        <sz val="10.5"/>
        <color rgb="FF000000"/>
        <rFont val="黑体"/>
        <charset val="134"/>
      </rPr>
      <t>系统可靠性指标</t>
    </r>
  </si>
  <si>
    <t>系统指标</t>
  </si>
  <si>
    <t>指标值</t>
  </si>
  <si>
    <t>计算值</t>
  </si>
  <si>
    <t>（7）</t>
  </si>
  <si>
    <t>= Σ[（0）*（2）]/Σ（0）</t>
  </si>
  <si>
    <r>
      <rPr>
        <sz val="9"/>
        <color rgb="FF000000"/>
        <rFont val="宋体"/>
        <charset val="134"/>
      </rPr>
      <t>系统平均停电频率期望值</t>
    </r>
    <r>
      <rPr>
        <sz val="9"/>
        <color rgb="FF000000"/>
        <rFont val="Times New Roman"/>
        <charset val="134"/>
      </rPr>
      <t>SAIFI</t>
    </r>
    <r>
      <rPr>
        <sz val="9"/>
        <color rgb="FF000000"/>
        <rFont val="宋体"/>
        <charset val="134"/>
      </rPr>
      <t>（次</t>
    </r>
    <r>
      <rPr>
        <sz val="9"/>
        <color rgb="FF000000"/>
        <rFont val="Times New Roman"/>
        <charset val="134"/>
      </rPr>
      <t>/</t>
    </r>
    <r>
      <rPr>
        <sz val="9"/>
        <color rgb="FF000000"/>
        <rFont val="宋体"/>
        <charset val="134"/>
      </rPr>
      <t>户</t>
    </r>
    <r>
      <rPr>
        <sz val="9"/>
        <color rgb="FF000000"/>
        <rFont val="Times New Roman"/>
        <charset val="134"/>
      </rPr>
      <t>•</t>
    </r>
    <r>
      <rPr>
        <sz val="9"/>
        <color rgb="FF000000"/>
        <rFont val="宋体"/>
        <charset val="134"/>
      </rPr>
      <t>年）</t>
    </r>
  </si>
  <si>
    <t>（8）</t>
  </si>
  <si>
    <t>= Σ[（0）*（3）]/Σ（0）</t>
  </si>
  <si>
    <r>
      <rPr>
        <sz val="9"/>
        <color rgb="FF000000"/>
        <rFont val="宋体"/>
        <charset val="134"/>
      </rPr>
      <t>系统平均停电时间期望值</t>
    </r>
    <r>
      <rPr>
        <sz val="9"/>
        <color rgb="FF000000"/>
        <rFont val="Times New Roman"/>
        <charset val="134"/>
      </rPr>
      <t>SAIDI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h/</t>
    </r>
    <r>
      <rPr>
        <sz val="9"/>
        <color rgb="FF000000"/>
        <rFont val="宋体"/>
        <charset val="134"/>
      </rPr>
      <t>户</t>
    </r>
    <r>
      <rPr>
        <sz val="9"/>
        <color rgb="FF000000"/>
        <rFont val="Times New Roman"/>
        <charset val="134"/>
      </rPr>
      <t>•</t>
    </r>
    <r>
      <rPr>
        <sz val="9"/>
        <color rgb="FF000000"/>
        <rFont val="宋体"/>
        <charset val="134"/>
      </rPr>
      <t>年</t>
    </r>
    <r>
      <rPr>
        <sz val="9"/>
        <color rgb="FF000000"/>
        <rFont val="Times New Roman"/>
        <charset val="134"/>
      </rPr>
      <t>)</t>
    </r>
  </si>
  <si>
    <t>（9）</t>
  </si>
  <si>
    <t>= 1-（8）/8760</t>
  </si>
  <si>
    <r>
      <rPr>
        <sz val="9"/>
        <color rgb="FF000000"/>
        <rFont val="宋体"/>
        <charset val="134"/>
      </rPr>
      <t>平均供电可用率期望值</t>
    </r>
    <r>
      <rPr>
        <sz val="9"/>
        <color rgb="FF000000"/>
        <rFont val="Times New Roman"/>
        <charset val="134"/>
      </rPr>
      <t>ASAI</t>
    </r>
  </si>
  <si>
    <t>（10）</t>
  </si>
  <si>
    <t>= Σ（6）</t>
  </si>
  <si>
    <r>
      <rPr>
        <sz val="9"/>
        <color rgb="FF000000"/>
        <rFont val="宋体"/>
        <charset val="134"/>
      </rPr>
      <t>系统缺供电量期望值</t>
    </r>
    <r>
      <rPr>
        <sz val="9"/>
        <color rgb="FF000000"/>
        <rFont val="Times New Roman"/>
        <charset val="134"/>
      </rPr>
      <t>ENS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Times New Roman"/>
        <charset val="134"/>
      </rPr>
      <t>kWh</t>
    </r>
    <r>
      <rPr>
        <sz val="9"/>
        <color rgb="FF000000"/>
        <rFont val="宋体"/>
        <charset val="134"/>
      </rPr>
      <t>）</t>
    </r>
  </si>
  <si>
    <t>（11）</t>
  </si>
  <si>
    <t>= Σ（6）/Σ（0）</t>
  </si>
  <si>
    <r>
      <rPr>
        <sz val="9"/>
        <color rgb="FF000000"/>
        <rFont val="宋体"/>
        <charset val="134"/>
      </rPr>
      <t>系统平均缺供电量期望值</t>
    </r>
    <r>
      <rPr>
        <sz val="9"/>
        <color rgb="FF000000"/>
        <rFont val="Times New Roman"/>
        <charset val="134"/>
      </rPr>
      <t>AENS( kWh/</t>
    </r>
    <r>
      <rPr>
        <sz val="9"/>
        <color rgb="FF000000"/>
        <rFont val="宋体"/>
        <charset val="134"/>
      </rPr>
      <t>户</t>
    </r>
    <r>
      <rPr>
        <sz val="9"/>
        <color rgb="FF000000"/>
        <rFont val="Times New Roman"/>
        <charset val="134"/>
      </rPr>
      <t>•</t>
    </r>
    <r>
      <rPr>
        <sz val="9"/>
        <color rgb="FF000000"/>
        <rFont val="宋体"/>
        <charset val="134"/>
      </rPr>
      <t>年</t>
    </r>
    <r>
      <rPr>
        <sz val="9"/>
        <color rgb="FF000000"/>
        <rFont val="Times New Roman"/>
        <charset val="134"/>
      </rPr>
      <t>)</t>
    </r>
  </si>
</sst>
</file>

<file path=xl/styles.xml><?xml version="1.0" encoding="utf-8"?>
<styleSheet xmlns="http://schemas.openxmlformats.org/spreadsheetml/2006/main">
  <numFmts count="9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0000_ "/>
    <numFmt numFmtId="177" formatCode="0.0000_ "/>
    <numFmt numFmtId="178" formatCode="0.000%"/>
    <numFmt numFmtId="179" formatCode="0.0000%"/>
    <numFmt numFmtId="180" formatCode="0.0%"/>
  </numFmts>
  <fonts count="32">
    <font>
      <sz val="11"/>
      <color theme="1"/>
      <name val="宋体"/>
      <charset val="134"/>
      <scheme val="minor"/>
    </font>
    <font>
      <sz val="10.5"/>
      <color rgb="FF000000"/>
      <name val="黑体"/>
      <charset val="134"/>
    </font>
    <font>
      <sz val="9"/>
      <color rgb="FF000000"/>
      <name val="宋体"/>
      <charset val="134"/>
    </font>
    <font>
      <sz val="9"/>
      <color rgb="FF0070C0"/>
      <name val="宋体"/>
      <charset val="134"/>
    </font>
    <font>
      <sz val="9"/>
      <color rgb="FF0070C0"/>
      <name val="Times New Roman"/>
      <charset val="134"/>
    </font>
    <font>
      <sz val="9"/>
      <color rgb="FF000000"/>
      <name val="Times New Roman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Times New Roman"/>
      <charset val="134"/>
    </font>
    <font>
      <sz val="10"/>
      <color rgb="FF0070C0"/>
      <name val="Times New Roman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0.5"/>
      <color rgb="FF000000"/>
      <name val="Times New Roman"/>
      <charset val="134"/>
    </font>
    <font>
      <vertAlign val="subscript"/>
      <sz val="9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6" fillId="13" borderId="3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30" applyNumberFormat="0" applyFon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10" borderId="29" applyNumberFormat="0" applyAlignment="0" applyProtection="0">
      <alignment vertical="center"/>
    </xf>
    <xf numFmtId="0" fontId="28" fillId="10" borderId="33" applyNumberFormat="0" applyAlignment="0" applyProtection="0">
      <alignment vertical="center"/>
    </xf>
    <xf numFmtId="0" fontId="12" fillId="7" borderId="27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7" fillId="0" borderId="34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78" fontId="4" fillId="0" borderId="1" xfId="0" applyNumberFormat="1" applyFont="1" applyBorder="1" applyAlignment="1">
      <alignment horizontal="right" vertical="center"/>
    </xf>
    <xf numFmtId="0" fontId="0" fillId="0" borderId="1" xfId="0" applyBorder="1">
      <alignment vertical="center"/>
    </xf>
    <xf numFmtId="179" fontId="0" fillId="0" borderId="0" xfId="11" applyNumberFormat="1" applyFont="1">
      <alignment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3" borderId="1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5" xfId="0" applyFill="1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3" borderId="2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right" vertical="center" wrapText="1"/>
    </xf>
    <xf numFmtId="0" fontId="2" fillId="4" borderId="16" xfId="0" applyFont="1" applyFill="1" applyBorder="1" applyAlignment="1">
      <alignment horizontal="left" vertical="center" wrapText="1"/>
    </xf>
    <xf numFmtId="0" fontId="0" fillId="4" borderId="17" xfId="0" applyFill="1" applyBorder="1">
      <alignment vertical="center"/>
    </xf>
    <xf numFmtId="0" fontId="0" fillId="4" borderId="15" xfId="0" applyFill="1" applyBorder="1">
      <alignment vertical="center"/>
    </xf>
    <xf numFmtId="177" fontId="0" fillId="4" borderId="16" xfId="0" applyNumberFormat="1" applyFill="1" applyBorder="1">
      <alignment vertical="center"/>
    </xf>
    <xf numFmtId="0" fontId="0" fillId="4" borderId="18" xfId="0" applyFill="1" applyBorder="1">
      <alignment vertical="center"/>
    </xf>
    <xf numFmtId="0" fontId="2" fillId="0" borderId="19" xfId="0" applyFont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right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0" fillId="5" borderId="23" xfId="0" applyFill="1" applyBorder="1">
      <alignment vertical="center"/>
    </xf>
    <xf numFmtId="0" fontId="0" fillId="5" borderId="21" xfId="0" applyFill="1" applyBorder="1">
      <alignment vertical="center"/>
    </xf>
    <xf numFmtId="177" fontId="0" fillId="5" borderId="22" xfId="0" applyNumberFormat="1" applyFill="1" applyBorder="1">
      <alignment vertical="center"/>
    </xf>
    <xf numFmtId="0" fontId="0" fillId="5" borderId="24" xfId="0" applyFill="1" applyBorder="1">
      <alignment vertical="center"/>
    </xf>
    <xf numFmtId="0" fontId="0" fillId="0" borderId="0" xfId="0" applyAlignment="1">
      <alignment horizontal="right" vertical="center"/>
    </xf>
    <xf numFmtId="180" fontId="0" fillId="0" borderId="0" xfId="11" applyNumberFormat="1">
      <alignment vertical="center"/>
    </xf>
    <xf numFmtId="0" fontId="5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10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137160</xdr:rowOff>
        </xdr:from>
        <xdr:to>
          <xdr:col>19</xdr:col>
          <xdr:colOff>315595</xdr:colOff>
          <xdr:row>27</xdr:row>
          <xdr:rowOff>135890</xdr:rowOff>
        </xdr:to>
        <xdr:sp>
          <xdr:nvSpPr>
            <xdr:cNvPr id="3073" name="Object 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313055" y="137160"/>
              <a:ext cx="12511405" cy="4627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470535</xdr:colOff>
          <xdr:row>0</xdr:row>
          <xdr:rowOff>356235</xdr:rowOff>
        </xdr:from>
        <xdr:to>
          <xdr:col>22</xdr:col>
          <xdr:colOff>41275</xdr:colOff>
          <xdr:row>12</xdr:row>
          <xdr:rowOff>179705</xdr:rowOff>
        </xdr:to>
        <xdr:sp>
          <xdr:nvSpPr>
            <xdr:cNvPr id="1025" name="Object 5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1325225" y="356235"/>
              <a:ext cx="6318885" cy="231076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312420</xdr:colOff>
          <xdr:row>53</xdr:row>
          <xdr:rowOff>131445</xdr:rowOff>
        </xdr:from>
        <xdr:to>
          <xdr:col>12</xdr:col>
          <xdr:colOff>401320</xdr:colOff>
          <xdr:row>67</xdr:row>
          <xdr:rowOff>15875</xdr:rowOff>
        </xdr:to>
        <xdr:sp>
          <xdr:nvSpPr>
            <xdr:cNvPr id="2050" name="Object 5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2014220" y="9323070"/>
              <a:ext cx="6557645" cy="228473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zoomScale="85" zoomScaleNormal="85" workbookViewId="0">
      <selection activeCell="F43" sqref="F43"/>
    </sheetView>
  </sheetViews>
  <sheetFormatPr defaultColWidth="9" defaultRowHeight="13.5" outlineLevelRow="7"/>
  <cols>
    <col min="1" max="1" width="5.10833333333333" customWidth="1"/>
    <col min="2" max="2" width="12.225" customWidth="1"/>
    <col min="3" max="3" width="20.775" customWidth="1"/>
    <col min="4" max="4" width="9.025" customWidth="1"/>
    <col min="5" max="5" width="12.9333333333333" customWidth="1"/>
    <col min="6" max="7" width="20.775" customWidth="1"/>
    <col min="8" max="8" width="15.025" customWidth="1"/>
    <col min="9" max="11" width="20.775" customWidth="1"/>
    <col min="12" max="12" width="14.1083333333333" customWidth="1"/>
  </cols>
  <sheetData>
    <row r="1" ht="51.6" customHeight="1" spans="1:12">
      <c r="A1" s="76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</row>
    <row r="2" spans="1:12">
      <c r="A2" s="11">
        <v>1</v>
      </c>
      <c r="B2" s="77" t="s">
        <v>12</v>
      </c>
      <c r="C2" s="68">
        <v>0.3</v>
      </c>
      <c r="D2" s="11">
        <v>2</v>
      </c>
      <c r="E2" s="11"/>
      <c r="F2" s="11"/>
      <c r="G2" s="11"/>
      <c r="H2" s="11"/>
      <c r="I2" s="11"/>
      <c r="J2" s="11"/>
      <c r="K2" s="33">
        <v>6</v>
      </c>
      <c r="L2" s="33">
        <v>7</v>
      </c>
    </row>
    <row r="3" spans="1:12">
      <c r="A3" s="11">
        <v>2</v>
      </c>
      <c r="B3" s="77" t="s">
        <v>13</v>
      </c>
      <c r="C3" s="68">
        <v>0.1</v>
      </c>
      <c r="D3" s="11">
        <v>5</v>
      </c>
      <c r="E3" s="11"/>
      <c r="F3" s="11"/>
      <c r="G3" s="11"/>
      <c r="H3" s="11"/>
      <c r="I3" s="11"/>
      <c r="J3" s="11"/>
      <c r="K3" s="33">
        <v>6</v>
      </c>
      <c r="L3" s="33">
        <v>7</v>
      </c>
    </row>
    <row r="4" spans="1:12">
      <c r="A4" s="11">
        <v>3</v>
      </c>
      <c r="B4" s="78" t="s">
        <v>14</v>
      </c>
      <c r="C4" s="68">
        <v>0.25</v>
      </c>
      <c r="D4" s="11">
        <v>3</v>
      </c>
      <c r="E4" s="33">
        <v>1</v>
      </c>
      <c r="F4" s="33">
        <v>0.5</v>
      </c>
      <c r="G4" s="33">
        <v>0.3</v>
      </c>
      <c r="H4" s="33">
        <v>0.1</v>
      </c>
      <c r="I4" s="33">
        <v>0.1</v>
      </c>
      <c r="J4" s="33">
        <v>0.1</v>
      </c>
      <c r="K4" s="11"/>
      <c r="L4" s="11"/>
    </row>
    <row r="5" spans="1:12">
      <c r="A5" s="11">
        <v>4</v>
      </c>
      <c r="B5" s="78" t="s">
        <v>15</v>
      </c>
      <c r="C5" s="68">
        <v>0.2</v>
      </c>
      <c r="D5" s="11">
        <v>2.5</v>
      </c>
      <c r="E5" s="33">
        <v>1</v>
      </c>
      <c r="F5" s="33">
        <v>0.5</v>
      </c>
      <c r="G5" s="33">
        <v>0.3</v>
      </c>
      <c r="H5" s="33">
        <v>0.1</v>
      </c>
      <c r="I5" s="33">
        <v>0.1</v>
      </c>
      <c r="J5" s="33">
        <v>0.1</v>
      </c>
      <c r="K5" s="11"/>
      <c r="L5" s="11"/>
    </row>
    <row r="6" spans="1:12">
      <c r="A6" s="11">
        <v>5</v>
      </c>
      <c r="B6" s="78" t="s">
        <v>16</v>
      </c>
      <c r="C6" s="68">
        <v>0.25</v>
      </c>
      <c r="D6" s="11">
        <v>2.5</v>
      </c>
      <c r="E6" s="33">
        <v>1</v>
      </c>
      <c r="F6" s="33">
        <v>0.5</v>
      </c>
      <c r="G6" s="33">
        <v>0.3</v>
      </c>
      <c r="H6" s="33">
        <v>0.1</v>
      </c>
      <c r="I6" s="33">
        <v>0.1</v>
      </c>
      <c r="J6" s="33">
        <v>0.1</v>
      </c>
      <c r="K6" s="11"/>
      <c r="L6" s="11"/>
    </row>
    <row r="7" spans="1:12">
      <c r="A7" s="11">
        <v>6</v>
      </c>
      <c r="B7" s="78" t="s">
        <v>17</v>
      </c>
      <c r="C7" s="68">
        <v>0.2</v>
      </c>
      <c r="D7" s="11">
        <v>2</v>
      </c>
      <c r="E7" s="33">
        <v>1</v>
      </c>
      <c r="F7" s="33">
        <v>0.5</v>
      </c>
      <c r="G7" s="33">
        <v>0.3</v>
      </c>
      <c r="H7" s="33">
        <v>0.1</v>
      </c>
      <c r="I7" s="33">
        <v>0.1</v>
      </c>
      <c r="J7" s="33">
        <v>0.1</v>
      </c>
      <c r="K7" s="11"/>
      <c r="L7" s="11"/>
    </row>
    <row r="8" spans="1:12">
      <c r="A8" s="11">
        <v>7</v>
      </c>
      <c r="B8" s="78" t="s">
        <v>18</v>
      </c>
      <c r="C8" s="68">
        <v>0.35</v>
      </c>
      <c r="D8" s="11">
        <v>4</v>
      </c>
      <c r="E8" s="11"/>
      <c r="F8" s="11"/>
      <c r="G8" s="11"/>
      <c r="H8" s="11"/>
      <c r="I8" s="11"/>
      <c r="J8" s="11"/>
      <c r="K8" s="11"/>
      <c r="L8" s="11"/>
    </row>
  </sheetData>
  <sortState ref="A3:C9">
    <sortCondition ref="B3:B9"/>
  </sortState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V10" sqref="V10"/>
    </sheetView>
  </sheetViews>
  <sheetFormatPr defaultColWidth="8.89166666666667" defaultRowHeight="13.5"/>
  <cols>
    <col min="1" max="1" width="4.10833333333333" customWidth="1"/>
  </cols>
  <sheetData/>
  <pageMargins left="0.75" right="0.75" top="1" bottom="1" header="0.511805555555556" footer="0.511805555555556"/>
  <headerFooter/>
  <drawing r:id="rId1"/>
  <legacyDrawing r:id="rId2"/>
  <oleObjects>
    <mc:AlternateContent xmlns:mc="http://schemas.openxmlformats.org/markup-compatibility/2006">
      <mc:Choice Requires="x14">
        <oleObject shapeId="3073" progId="Visio.Drawing.11" r:id="rId3">
          <objectPr defaultSize="0" r:id="rId4">
            <anchor moveWithCells="1" sizeWithCells="1">
              <from>
                <xdr:col>1</xdr:col>
                <xdr:colOff>0</xdr:colOff>
                <xdr:row>0</xdr:row>
                <xdr:rowOff>137160</xdr:rowOff>
              </from>
              <to>
                <xdr:col>19</xdr:col>
                <xdr:colOff>315595</xdr:colOff>
                <xdr:row>27</xdr:row>
                <xdr:rowOff>135890</xdr:rowOff>
              </to>
            </anchor>
          </objectPr>
        </oleObject>
      </mc:Choice>
      <mc:Fallback>
        <oleObject shapeId="3073" progId="Visio.Drawing.11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L2" sqref="L2"/>
    </sheetView>
  </sheetViews>
  <sheetFormatPr defaultColWidth="9" defaultRowHeight="13.5"/>
  <cols>
    <col min="5" max="6" width="16.3333333333333" customWidth="1"/>
    <col min="7" max="7" width="11.225" customWidth="1"/>
    <col min="10" max="10" width="10.8916666666667" customWidth="1"/>
    <col min="12" max="12" width="15.6666666666667" customWidth="1"/>
    <col min="14" max="14" width="16.5583333333333" customWidth="1"/>
  </cols>
  <sheetData>
    <row r="1" ht="48" spans="1:13">
      <c r="A1" s="60" t="s">
        <v>19</v>
      </c>
      <c r="B1" s="60"/>
      <c r="C1" s="61" t="s">
        <v>20</v>
      </c>
      <c r="D1" s="61" t="s">
        <v>1</v>
      </c>
      <c r="E1" s="62" t="s">
        <v>2</v>
      </c>
      <c r="F1" s="61" t="s">
        <v>21</v>
      </c>
      <c r="G1" s="61" t="s">
        <v>22</v>
      </c>
      <c r="H1" s="61" t="s">
        <v>23</v>
      </c>
      <c r="I1" s="61" t="s">
        <v>24</v>
      </c>
      <c r="J1" s="62" t="s">
        <v>10</v>
      </c>
      <c r="K1" s="61" t="s">
        <v>25</v>
      </c>
      <c r="L1" s="61" t="s">
        <v>26</v>
      </c>
      <c r="M1" s="61" t="s">
        <v>27</v>
      </c>
    </row>
    <row r="2" spans="1:13">
      <c r="A2" s="63" t="s">
        <v>28</v>
      </c>
      <c r="B2" s="64" t="s">
        <v>29</v>
      </c>
      <c r="C2" s="65">
        <v>0.5</v>
      </c>
      <c r="D2" s="66" t="s">
        <v>12</v>
      </c>
      <c r="E2" s="67">
        <f>VLOOKUP(D2,设施故障率!B:D,2,FALSE)</f>
        <v>0.3</v>
      </c>
      <c r="F2" s="67">
        <f>C2/100*E2</f>
        <v>0.0015</v>
      </c>
      <c r="G2" s="67">
        <f>VLOOKUP(D2,设施故障率!B:D,3,FALSE)</f>
        <v>2</v>
      </c>
      <c r="H2" s="68"/>
      <c r="I2" s="68"/>
      <c r="J2" s="74">
        <f>VLOOKUP(D2,设施故障率!B:M,10,FALSE)</f>
        <v>6</v>
      </c>
      <c r="K2" s="74">
        <f>VLOOKUP(D2,设施故障率!B:M,11,FALSE)</f>
        <v>7</v>
      </c>
      <c r="L2" s="75">
        <f>C2/100*J2</f>
        <v>0.03</v>
      </c>
      <c r="M2" s="75">
        <f>K2*L2</f>
        <v>0.21</v>
      </c>
    </row>
    <row r="3" spans="1:13">
      <c r="A3" s="63"/>
      <c r="B3" s="64" t="s">
        <v>30</v>
      </c>
      <c r="C3" s="65">
        <v>2</v>
      </c>
      <c r="D3" s="66" t="s">
        <v>13</v>
      </c>
      <c r="E3" s="67">
        <f>VLOOKUP(D3,设施故障率!B:D,2,FALSE)</f>
        <v>0.1</v>
      </c>
      <c r="F3" s="67">
        <f t="shared" ref="F3:F33" si="0">C3/100*E3</f>
        <v>0.002</v>
      </c>
      <c r="G3" s="67">
        <f>VLOOKUP(D3,设施故障率!B:D,3,FALSE)</f>
        <v>5</v>
      </c>
      <c r="H3" s="68"/>
      <c r="I3" s="68"/>
      <c r="J3" s="74">
        <f>VLOOKUP(D3,设施故障率!B:M,10,FALSE)</f>
        <v>6</v>
      </c>
      <c r="K3" s="74">
        <f>VLOOKUP(D3,设施故障率!B:M,11,FALSE)</f>
        <v>7</v>
      </c>
      <c r="L3" s="75">
        <f t="shared" ref="L3:L34" si="1">C3/100*J3</f>
        <v>0.12</v>
      </c>
      <c r="M3" s="75">
        <f t="shared" ref="M3:M34" si="2">K3*L3</f>
        <v>0.84</v>
      </c>
    </row>
    <row r="4" spans="1:13">
      <c r="A4" s="63"/>
      <c r="B4" s="64" t="s">
        <v>31</v>
      </c>
      <c r="C4" s="65">
        <v>3</v>
      </c>
      <c r="D4" s="66" t="s">
        <v>13</v>
      </c>
      <c r="E4" s="67">
        <f>VLOOKUP(D4,设施故障率!B:D,2,FALSE)</f>
        <v>0.1</v>
      </c>
      <c r="F4" s="67">
        <f t="shared" si="0"/>
        <v>0.003</v>
      </c>
      <c r="G4" s="67">
        <f>VLOOKUP(D4,设施故障率!B:D,3,FALSE)</f>
        <v>5</v>
      </c>
      <c r="H4" s="68"/>
      <c r="I4" s="68"/>
      <c r="J4" s="74">
        <f>VLOOKUP(D4,设施故障率!B:M,10,FALSE)</f>
        <v>6</v>
      </c>
      <c r="K4" s="74">
        <f>VLOOKUP(D4,设施故障率!B:M,11,FALSE)</f>
        <v>7</v>
      </c>
      <c r="L4" s="75">
        <f t="shared" si="1"/>
        <v>0.18</v>
      </c>
      <c r="M4" s="75">
        <f t="shared" si="2"/>
        <v>1.26</v>
      </c>
    </row>
    <row r="5" spans="1:13">
      <c r="A5" s="63"/>
      <c r="B5" s="64" t="s">
        <v>32</v>
      </c>
      <c r="C5" s="65">
        <v>3</v>
      </c>
      <c r="D5" s="66" t="s">
        <v>12</v>
      </c>
      <c r="E5" s="67">
        <f>VLOOKUP(D5,设施故障率!B:D,2,FALSE)</f>
        <v>0.3</v>
      </c>
      <c r="F5" s="67">
        <f t="shared" si="0"/>
        <v>0.009</v>
      </c>
      <c r="G5" s="67">
        <f>VLOOKUP(D5,设施故障率!B:D,3,FALSE)</f>
        <v>2</v>
      </c>
      <c r="H5" s="68"/>
      <c r="I5" s="68"/>
      <c r="J5" s="74">
        <f>VLOOKUP(D5,设施故障率!B:M,10,FALSE)</f>
        <v>6</v>
      </c>
      <c r="K5" s="74">
        <f>VLOOKUP(D5,设施故障率!B:M,11,FALSE)</f>
        <v>7</v>
      </c>
      <c r="L5" s="75">
        <f t="shared" si="1"/>
        <v>0.18</v>
      </c>
      <c r="M5" s="75">
        <f t="shared" si="2"/>
        <v>1.26</v>
      </c>
    </row>
    <row r="6" spans="1:13">
      <c r="A6" s="63"/>
      <c r="B6" s="64" t="s">
        <v>33</v>
      </c>
      <c r="C6" s="65">
        <v>1</v>
      </c>
      <c r="D6" s="66" t="s">
        <v>12</v>
      </c>
      <c r="E6" s="67">
        <f>VLOOKUP(D6,设施故障率!B:D,2,FALSE)</f>
        <v>0.3</v>
      </c>
      <c r="F6" s="67">
        <f t="shared" si="0"/>
        <v>0.003</v>
      </c>
      <c r="G6" s="67">
        <f>VLOOKUP(D6,设施故障率!B:D,3,FALSE)</f>
        <v>2</v>
      </c>
      <c r="H6" s="68"/>
      <c r="I6" s="68"/>
      <c r="J6" s="74">
        <f>VLOOKUP(D6,设施故障率!B:M,10,FALSE)</f>
        <v>6</v>
      </c>
      <c r="K6" s="74">
        <f>VLOOKUP(D6,设施故障率!B:M,11,FALSE)</f>
        <v>7</v>
      </c>
      <c r="L6" s="75">
        <f t="shared" si="1"/>
        <v>0.06</v>
      </c>
      <c r="M6" s="75">
        <f t="shared" si="2"/>
        <v>0.42</v>
      </c>
    </row>
    <row r="7" spans="1:13">
      <c r="A7" s="63"/>
      <c r="B7" s="64" t="s">
        <v>34</v>
      </c>
      <c r="C7" s="65">
        <v>2</v>
      </c>
      <c r="D7" s="66" t="s">
        <v>12</v>
      </c>
      <c r="E7" s="67">
        <f>VLOOKUP(D7,设施故障率!B:D,2,FALSE)</f>
        <v>0.3</v>
      </c>
      <c r="F7" s="67">
        <f t="shared" si="0"/>
        <v>0.006</v>
      </c>
      <c r="G7" s="67">
        <f>VLOOKUP(D7,设施故障率!B:D,3,FALSE)</f>
        <v>2</v>
      </c>
      <c r="H7" s="68"/>
      <c r="I7" s="68"/>
      <c r="J7" s="74">
        <f>VLOOKUP(D7,设施故障率!B:M,10,FALSE)</f>
        <v>6</v>
      </c>
      <c r="K7" s="74">
        <f>VLOOKUP(D7,设施故障率!B:M,11,FALSE)</f>
        <v>7</v>
      </c>
      <c r="L7" s="75">
        <f t="shared" si="1"/>
        <v>0.12</v>
      </c>
      <c r="M7" s="75">
        <f t="shared" si="2"/>
        <v>0.84</v>
      </c>
    </row>
    <row r="8" spans="1:13">
      <c r="A8" s="63"/>
      <c r="B8" s="64" t="s">
        <v>35</v>
      </c>
      <c r="C8" s="65">
        <v>2</v>
      </c>
      <c r="D8" s="66" t="s">
        <v>12</v>
      </c>
      <c r="E8" s="67">
        <f>VLOOKUP(D8,设施故障率!B:D,2,FALSE)</f>
        <v>0.3</v>
      </c>
      <c r="F8" s="67">
        <f t="shared" si="0"/>
        <v>0.006</v>
      </c>
      <c r="G8" s="67">
        <f>VLOOKUP(D8,设施故障率!B:D,3,FALSE)</f>
        <v>2</v>
      </c>
      <c r="H8" s="68"/>
      <c r="I8" s="68"/>
      <c r="J8" s="74">
        <f>VLOOKUP(D8,设施故障率!B:M,10,FALSE)</f>
        <v>6</v>
      </c>
      <c r="K8" s="74">
        <f>VLOOKUP(D8,设施故障率!B:M,11,FALSE)</f>
        <v>7</v>
      </c>
      <c r="L8" s="75">
        <f t="shared" si="1"/>
        <v>0.12</v>
      </c>
      <c r="M8" s="75">
        <f t="shared" si="2"/>
        <v>0.84</v>
      </c>
    </row>
    <row r="9" spans="1:13">
      <c r="A9" s="63"/>
      <c r="B9" s="64" t="s">
        <v>36</v>
      </c>
      <c r="C9" s="65">
        <v>1</v>
      </c>
      <c r="D9" s="66" t="s">
        <v>12</v>
      </c>
      <c r="E9" s="67">
        <f>VLOOKUP(D9,设施故障率!B:D,2,FALSE)</f>
        <v>0.3</v>
      </c>
      <c r="F9" s="67">
        <f t="shared" si="0"/>
        <v>0.003</v>
      </c>
      <c r="G9" s="67">
        <f>VLOOKUP(D9,设施故障率!B:D,3,FALSE)</f>
        <v>2</v>
      </c>
      <c r="H9" s="68"/>
      <c r="I9" s="68"/>
      <c r="J9" s="74">
        <f>VLOOKUP(D9,设施故障率!B:M,10,FALSE)</f>
        <v>6</v>
      </c>
      <c r="K9" s="74">
        <f>VLOOKUP(D9,设施故障率!B:M,11,FALSE)</f>
        <v>7</v>
      </c>
      <c r="L9" s="75">
        <f t="shared" si="1"/>
        <v>0.06</v>
      </c>
      <c r="M9" s="75">
        <f t="shared" si="2"/>
        <v>0.42</v>
      </c>
    </row>
    <row r="10" spans="1:13">
      <c r="A10" s="63" t="s">
        <v>37</v>
      </c>
      <c r="B10" s="64" t="s">
        <v>38</v>
      </c>
      <c r="C10" s="65">
        <v>1</v>
      </c>
      <c r="D10" s="66" t="s">
        <v>13</v>
      </c>
      <c r="E10" s="67">
        <f>VLOOKUP(D10,设施故障率!B:D,2,FALSE)</f>
        <v>0.1</v>
      </c>
      <c r="F10" s="67">
        <f t="shared" si="0"/>
        <v>0.001</v>
      </c>
      <c r="G10" s="67">
        <f>VLOOKUP(D10,设施故障率!B:D,3,FALSE)</f>
        <v>5</v>
      </c>
      <c r="H10" s="68"/>
      <c r="I10" s="68"/>
      <c r="J10" s="74">
        <f>VLOOKUP(D10,设施故障率!B:M,10,FALSE)</f>
        <v>6</v>
      </c>
      <c r="K10" s="74">
        <f>VLOOKUP(D10,设施故障率!B:M,11,FALSE)</f>
        <v>7</v>
      </c>
      <c r="L10" s="75">
        <f t="shared" si="1"/>
        <v>0.06</v>
      </c>
      <c r="M10" s="75">
        <f t="shared" si="2"/>
        <v>0.42</v>
      </c>
    </row>
    <row r="11" spans="1:13">
      <c r="A11" s="63"/>
      <c r="B11" s="64" t="s">
        <v>39</v>
      </c>
      <c r="C11" s="65">
        <v>1.5</v>
      </c>
      <c r="D11" s="66" t="s">
        <v>12</v>
      </c>
      <c r="E11" s="67">
        <f>VLOOKUP(D11,设施故障率!B:D,2,FALSE)</f>
        <v>0.3</v>
      </c>
      <c r="F11" s="67">
        <f t="shared" si="0"/>
        <v>0.0045</v>
      </c>
      <c r="G11" s="67">
        <f>VLOOKUP(D11,设施故障率!B:D,3,FALSE)</f>
        <v>2</v>
      </c>
      <c r="H11" s="68"/>
      <c r="I11" s="68"/>
      <c r="J11" s="74">
        <f>VLOOKUP(D11,设施故障率!B:M,10,FALSE)</f>
        <v>6</v>
      </c>
      <c r="K11" s="74">
        <f>VLOOKUP(D11,设施故障率!B:M,11,FALSE)</f>
        <v>7</v>
      </c>
      <c r="L11" s="75">
        <f t="shared" si="1"/>
        <v>0.09</v>
      </c>
      <c r="M11" s="75">
        <f t="shared" si="2"/>
        <v>0.63</v>
      </c>
    </row>
    <row r="12" spans="1:13">
      <c r="A12" s="63"/>
      <c r="B12" s="64" t="s">
        <v>40</v>
      </c>
      <c r="C12" s="65">
        <v>1.5</v>
      </c>
      <c r="D12" s="66" t="s">
        <v>12</v>
      </c>
      <c r="E12" s="67">
        <f>VLOOKUP(D12,设施故障率!B:D,2,FALSE)</f>
        <v>0.3</v>
      </c>
      <c r="F12" s="67">
        <f t="shared" si="0"/>
        <v>0.0045</v>
      </c>
      <c r="G12" s="67">
        <f>VLOOKUP(D12,设施故障率!B:D,3,FALSE)</f>
        <v>2</v>
      </c>
      <c r="H12" s="68"/>
      <c r="I12" s="68"/>
      <c r="J12" s="74">
        <f>VLOOKUP(D12,设施故障率!B:M,10,FALSE)</f>
        <v>6</v>
      </c>
      <c r="K12" s="74">
        <f>VLOOKUP(D12,设施故障率!B:M,11,FALSE)</f>
        <v>7</v>
      </c>
      <c r="L12" s="75">
        <f t="shared" si="1"/>
        <v>0.09</v>
      </c>
      <c r="M12" s="75">
        <f t="shared" si="2"/>
        <v>0.63</v>
      </c>
    </row>
    <row r="13" spans="1:13">
      <c r="A13" s="63"/>
      <c r="B13" s="64" t="s">
        <v>41</v>
      </c>
      <c r="C13" s="65">
        <v>0.5</v>
      </c>
      <c r="D13" s="66" t="s">
        <v>12</v>
      </c>
      <c r="E13" s="67">
        <f>VLOOKUP(D13,设施故障率!B:D,2,FALSE)</f>
        <v>0.3</v>
      </c>
      <c r="F13" s="67">
        <f t="shared" si="0"/>
        <v>0.0015</v>
      </c>
      <c r="G13" s="67">
        <f>VLOOKUP(D13,设施故障率!B:D,3,FALSE)</f>
        <v>2</v>
      </c>
      <c r="H13" s="68"/>
      <c r="I13" s="68"/>
      <c r="J13" s="74">
        <f>VLOOKUP(D13,设施故障率!B:M,10,FALSE)</f>
        <v>6</v>
      </c>
      <c r="K13" s="74">
        <f>VLOOKUP(D13,设施故障率!B:M,11,FALSE)</f>
        <v>7</v>
      </c>
      <c r="L13" s="75">
        <f t="shared" si="1"/>
        <v>0.03</v>
      </c>
      <c r="M13" s="75">
        <f t="shared" si="2"/>
        <v>0.21</v>
      </c>
    </row>
    <row r="14" spans="1:13">
      <c r="A14" s="63"/>
      <c r="B14" s="64" t="s">
        <v>42</v>
      </c>
      <c r="C14" s="65">
        <v>1</v>
      </c>
      <c r="D14" s="66" t="s">
        <v>12</v>
      </c>
      <c r="E14" s="67">
        <f>VLOOKUP(D14,设施故障率!B:D,2,FALSE)</f>
        <v>0.3</v>
      </c>
      <c r="F14" s="67">
        <f t="shared" si="0"/>
        <v>0.003</v>
      </c>
      <c r="G14" s="67">
        <f>VLOOKUP(D14,设施故障率!B:D,3,FALSE)</f>
        <v>2</v>
      </c>
      <c r="H14" s="68"/>
      <c r="I14" s="68"/>
      <c r="J14" s="74">
        <f>VLOOKUP(D14,设施故障率!B:M,10,FALSE)</f>
        <v>6</v>
      </c>
      <c r="K14" s="74">
        <f>VLOOKUP(D14,设施故障率!B:M,11,FALSE)</f>
        <v>7</v>
      </c>
      <c r="L14" s="75">
        <f t="shared" si="1"/>
        <v>0.06</v>
      </c>
      <c r="M14" s="75">
        <f t="shared" si="2"/>
        <v>0.42</v>
      </c>
    </row>
    <row r="15" spans="1:13">
      <c r="A15" s="69" t="s">
        <v>43</v>
      </c>
      <c r="B15" s="68" t="s">
        <v>44</v>
      </c>
      <c r="C15" s="65">
        <v>1</v>
      </c>
      <c r="D15" s="63" t="s">
        <v>14</v>
      </c>
      <c r="E15" s="67">
        <f>VLOOKUP(D15,设施故障率!B:D,2,FALSE)</f>
        <v>0.25</v>
      </c>
      <c r="F15" s="67">
        <f t="shared" si="0"/>
        <v>0.0025</v>
      </c>
      <c r="G15" s="67">
        <f>VLOOKUP(D15,设施故障率!B:D,3,FALSE)</f>
        <v>3</v>
      </c>
      <c r="H15" s="68"/>
      <c r="I15" s="68"/>
      <c r="J15" s="74">
        <f>VLOOKUP(D15,设施故障率!B:M,10,FALSE)</f>
        <v>0</v>
      </c>
      <c r="K15" s="74">
        <f>VLOOKUP(D15,设施故障率!B:M,11,FALSE)</f>
        <v>0</v>
      </c>
      <c r="L15" s="75">
        <f t="shared" si="1"/>
        <v>0</v>
      </c>
      <c r="M15" s="75">
        <f t="shared" si="2"/>
        <v>0</v>
      </c>
    </row>
    <row r="16" spans="1:13">
      <c r="A16" s="70"/>
      <c r="B16" s="68" t="s">
        <v>45</v>
      </c>
      <c r="C16" s="65">
        <v>1</v>
      </c>
      <c r="D16" s="63" t="s">
        <v>14</v>
      </c>
      <c r="E16" s="67">
        <f>VLOOKUP(D16,设施故障率!B:D,2,FALSE)</f>
        <v>0.25</v>
      </c>
      <c r="F16" s="67">
        <f t="shared" si="0"/>
        <v>0.0025</v>
      </c>
      <c r="G16" s="67">
        <f>VLOOKUP(D16,设施故障率!B:D,3,FALSE)</f>
        <v>3</v>
      </c>
      <c r="H16" s="68"/>
      <c r="I16" s="68"/>
      <c r="J16" s="74">
        <f>VLOOKUP(D16,设施故障率!B:M,10,FALSE)</f>
        <v>0</v>
      </c>
      <c r="K16" s="74">
        <f>VLOOKUP(D16,设施故障率!B:M,11,FALSE)</f>
        <v>0</v>
      </c>
      <c r="L16" s="75">
        <f t="shared" si="1"/>
        <v>0</v>
      </c>
      <c r="M16" s="75">
        <f t="shared" si="2"/>
        <v>0</v>
      </c>
    </row>
    <row r="17" spans="1:13">
      <c r="A17" s="70"/>
      <c r="B17" s="68" t="s">
        <v>46</v>
      </c>
      <c r="C17" s="65">
        <v>1</v>
      </c>
      <c r="D17" s="63" t="s">
        <v>14</v>
      </c>
      <c r="E17" s="67">
        <f>VLOOKUP(D17,设施故障率!B:D,2,FALSE)</f>
        <v>0.25</v>
      </c>
      <c r="F17" s="67">
        <f t="shared" si="0"/>
        <v>0.0025</v>
      </c>
      <c r="G17" s="67">
        <f>VLOOKUP(D17,设施故障率!B:D,3,FALSE)</f>
        <v>3</v>
      </c>
      <c r="H17" s="68"/>
      <c r="I17" s="68"/>
      <c r="J17" s="74">
        <f>VLOOKUP(D17,设施故障率!B:M,10,FALSE)</f>
        <v>0</v>
      </c>
      <c r="K17" s="74">
        <f>VLOOKUP(D17,设施故障率!B:M,11,FALSE)</f>
        <v>0</v>
      </c>
      <c r="L17" s="75">
        <f t="shared" si="1"/>
        <v>0</v>
      </c>
      <c r="M17" s="75">
        <f t="shared" si="2"/>
        <v>0</v>
      </c>
    </row>
    <row r="18" spans="1:13">
      <c r="A18" s="70"/>
      <c r="B18" s="68" t="s">
        <v>47</v>
      </c>
      <c r="C18" s="65">
        <v>1</v>
      </c>
      <c r="D18" s="63" t="s">
        <v>14</v>
      </c>
      <c r="E18" s="67">
        <f>VLOOKUP(D18,设施故障率!B:D,2,FALSE)</f>
        <v>0.25</v>
      </c>
      <c r="F18" s="67">
        <f t="shared" si="0"/>
        <v>0.0025</v>
      </c>
      <c r="G18" s="67">
        <f>VLOOKUP(D18,设施故障率!B:D,3,FALSE)</f>
        <v>3</v>
      </c>
      <c r="H18" s="68"/>
      <c r="I18" s="68"/>
      <c r="J18" s="74">
        <f>VLOOKUP(D18,设施故障率!B:M,10,FALSE)</f>
        <v>0</v>
      </c>
      <c r="K18" s="74">
        <f>VLOOKUP(D18,设施故障率!B:M,11,FALSE)</f>
        <v>0</v>
      </c>
      <c r="L18" s="75">
        <f t="shared" si="1"/>
        <v>0</v>
      </c>
      <c r="M18" s="75">
        <f t="shared" si="2"/>
        <v>0</v>
      </c>
    </row>
    <row r="19" spans="1:13">
      <c r="A19" s="70"/>
      <c r="B19" s="68" t="s">
        <v>48</v>
      </c>
      <c r="C19" s="65">
        <v>1</v>
      </c>
      <c r="D19" s="63" t="s">
        <v>16</v>
      </c>
      <c r="E19" s="67">
        <f>VLOOKUP(D19,设施故障率!B:D,2,FALSE)</f>
        <v>0.25</v>
      </c>
      <c r="F19" s="67">
        <f t="shared" si="0"/>
        <v>0.0025</v>
      </c>
      <c r="G19" s="67">
        <f>VLOOKUP(D19,设施故障率!B:D,3,FALSE)</f>
        <v>2.5</v>
      </c>
      <c r="H19" s="68"/>
      <c r="I19" s="68"/>
      <c r="J19" s="74">
        <f>VLOOKUP(D19,设施故障率!B:M,10,FALSE)</f>
        <v>0</v>
      </c>
      <c r="K19" s="74">
        <f>VLOOKUP(D19,设施故障率!B:M,11,FALSE)</f>
        <v>0</v>
      </c>
      <c r="L19" s="75">
        <f t="shared" si="1"/>
        <v>0</v>
      </c>
      <c r="M19" s="75">
        <f t="shared" si="2"/>
        <v>0</v>
      </c>
    </row>
    <row r="20" spans="1:13">
      <c r="A20" s="70"/>
      <c r="B20" s="68" t="s">
        <v>49</v>
      </c>
      <c r="C20" s="65">
        <v>1</v>
      </c>
      <c r="D20" s="63" t="s">
        <v>16</v>
      </c>
      <c r="E20" s="67">
        <f>VLOOKUP(D20,设施故障率!B:D,2,FALSE)</f>
        <v>0.25</v>
      </c>
      <c r="F20" s="67">
        <f t="shared" si="0"/>
        <v>0.0025</v>
      </c>
      <c r="G20" s="67">
        <f>VLOOKUP(D20,设施故障率!B:D,3,FALSE)</f>
        <v>2.5</v>
      </c>
      <c r="H20" s="68"/>
      <c r="I20" s="68"/>
      <c r="J20" s="74">
        <f>VLOOKUP(D20,设施故障率!B:M,10,FALSE)</f>
        <v>0</v>
      </c>
      <c r="K20" s="74">
        <f>VLOOKUP(D20,设施故障率!B:M,11,FALSE)</f>
        <v>0</v>
      </c>
      <c r="L20" s="75">
        <f t="shared" si="1"/>
        <v>0</v>
      </c>
      <c r="M20" s="75">
        <f t="shared" si="2"/>
        <v>0</v>
      </c>
    </row>
    <row r="21" spans="1:13">
      <c r="A21" s="70"/>
      <c r="B21" s="68" t="s">
        <v>50</v>
      </c>
      <c r="C21" s="65">
        <v>1</v>
      </c>
      <c r="D21" s="63" t="s">
        <v>15</v>
      </c>
      <c r="E21" s="67">
        <f>VLOOKUP(D21,设施故障率!B:D,2,FALSE)</f>
        <v>0.2</v>
      </c>
      <c r="F21" s="67">
        <f t="shared" si="0"/>
        <v>0.002</v>
      </c>
      <c r="G21" s="67">
        <f>VLOOKUP(D21,设施故障率!B:D,3,FALSE)</f>
        <v>2.5</v>
      </c>
      <c r="H21" s="68"/>
      <c r="I21" s="68"/>
      <c r="J21" s="74">
        <f>VLOOKUP(D21,设施故障率!B:M,10,FALSE)</f>
        <v>0</v>
      </c>
      <c r="K21" s="74">
        <f>VLOOKUP(D21,设施故障率!B:M,11,FALSE)</f>
        <v>0</v>
      </c>
      <c r="L21" s="75">
        <f t="shared" si="1"/>
        <v>0</v>
      </c>
      <c r="M21" s="75">
        <f t="shared" si="2"/>
        <v>0</v>
      </c>
    </row>
    <row r="22" spans="1:13">
      <c r="A22" s="70"/>
      <c r="B22" s="68" t="s">
        <v>51</v>
      </c>
      <c r="C22" s="65">
        <v>1</v>
      </c>
      <c r="D22" s="63" t="s">
        <v>15</v>
      </c>
      <c r="E22" s="67">
        <f>VLOOKUP(D22,设施故障率!B:D,2,FALSE)</f>
        <v>0.2</v>
      </c>
      <c r="F22" s="67">
        <f t="shared" si="0"/>
        <v>0.002</v>
      </c>
      <c r="G22" s="67">
        <f>VLOOKUP(D22,设施故障率!B:D,3,FALSE)</f>
        <v>2.5</v>
      </c>
      <c r="H22" s="68"/>
      <c r="I22" s="68"/>
      <c r="J22" s="74">
        <f>VLOOKUP(D22,设施故障率!B:M,10,FALSE)</f>
        <v>0</v>
      </c>
      <c r="K22" s="74">
        <f>VLOOKUP(D22,设施故障率!B:M,11,FALSE)</f>
        <v>0</v>
      </c>
      <c r="L22" s="75">
        <f t="shared" si="1"/>
        <v>0</v>
      </c>
      <c r="M22" s="75">
        <f t="shared" si="2"/>
        <v>0</v>
      </c>
    </row>
    <row r="23" spans="1:13">
      <c r="A23" s="70"/>
      <c r="B23" s="68" t="s">
        <v>52</v>
      </c>
      <c r="C23" s="65">
        <v>1</v>
      </c>
      <c r="D23" s="63" t="s">
        <v>17</v>
      </c>
      <c r="E23" s="67">
        <f>VLOOKUP(D23,设施故障率!B:D,2,FALSE)</f>
        <v>0.2</v>
      </c>
      <c r="F23" s="67">
        <f t="shared" si="0"/>
        <v>0.002</v>
      </c>
      <c r="G23" s="67">
        <f>VLOOKUP(D23,设施故障率!B:D,3,FALSE)</f>
        <v>2</v>
      </c>
      <c r="H23" s="68"/>
      <c r="I23" s="68"/>
      <c r="J23" s="74">
        <f>VLOOKUP(D23,设施故障率!B:M,10,FALSE)</f>
        <v>0</v>
      </c>
      <c r="K23" s="74">
        <f>VLOOKUP(D23,设施故障率!B:M,11,FALSE)</f>
        <v>0</v>
      </c>
      <c r="L23" s="75">
        <f t="shared" si="1"/>
        <v>0</v>
      </c>
      <c r="M23" s="75">
        <f t="shared" si="2"/>
        <v>0</v>
      </c>
    </row>
    <row r="24" spans="1:13">
      <c r="A24" s="70"/>
      <c r="B24" s="33" t="s">
        <v>53</v>
      </c>
      <c r="C24" s="65">
        <v>1</v>
      </c>
      <c r="D24" s="63" t="s">
        <v>18</v>
      </c>
      <c r="E24" s="67">
        <f>VLOOKUP(D24,设施故障率!B:D,2,FALSE)</f>
        <v>0.35</v>
      </c>
      <c r="F24" s="67">
        <f t="shared" si="0"/>
        <v>0.0035</v>
      </c>
      <c r="G24" s="67">
        <f>VLOOKUP(D24,设施故障率!B:D,3,FALSE)</f>
        <v>4</v>
      </c>
      <c r="H24" s="68">
        <v>1</v>
      </c>
      <c r="I24" s="68">
        <v>800</v>
      </c>
      <c r="J24" s="74">
        <f>VLOOKUP(D24,设施故障率!B:M,10,FALSE)</f>
        <v>0</v>
      </c>
      <c r="K24" s="74">
        <f>VLOOKUP(D24,设施故障率!B:M,11,FALSE)</f>
        <v>0</v>
      </c>
      <c r="L24" s="75">
        <f t="shared" si="1"/>
        <v>0</v>
      </c>
      <c r="M24" s="75">
        <f t="shared" si="2"/>
        <v>0</v>
      </c>
    </row>
    <row r="25" spans="1:13">
      <c r="A25" s="70"/>
      <c r="B25" s="33" t="s">
        <v>54</v>
      </c>
      <c r="C25" s="71">
        <v>1</v>
      </c>
      <c r="D25" s="63" t="s">
        <v>18</v>
      </c>
      <c r="E25" s="67">
        <f>VLOOKUP(D25,设施故障率!B:D,2,FALSE)</f>
        <v>0.35</v>
      </c>
      <c r="F25" s="67">
        <f t="shared" si="0"/>
        <v>0.0035</v>
      </c>
      <c r="G25" s="67">
        <f>VLOOKUP(D25,设施故障率!B:D,3,FALSE)</f>
        <v>4</v>
      </c>
      <c r="H25" s="68">
        <v>1</v>
      </c>
      <c r="I25" s="68">
        <v>200</v>
      </c>
      <c r="J25" s="74">
        <f>VLOOKUP(D25,设施故障率!B:M,10,FALSE)</f>
        <v>0</v>
      </c>
      <c r="K25" s="74">
        <f>VLOOKUP(D25,设施故障率!B:M,11,FALSE)</f>
        <v>0</v>
      </c>
      <c r="L25" s="75">
        <f t="shared" si="1"/>
        <v>0</v>
      </c>
      <c r="M25" s="75">
        <f t="shared" si="2"/>
        <v>0</v>
      </c>
    </row>
    <row r="26" spans="1:13">
      <c r="A26" s="70"/>
      <c r="B26" s="33" t="s">
        <v>55</v>
      </c>
      <c r="C26" s="71">
        <v>1</v>
      </c>
      <c r="D26" s="63" t="s">
        <v>18</v>
      </c>
      <c r="E26" s="67">
        <f>VLOOKUP(D26,设施故障率!B:D,2,FALSE)</f>
        <v>0.35</v>
      </c>
      <c r="F26" s="67">
        <f t="shared" si="0"/>
        <v>0.0035</v>
      </c>
      <c r="G26" s="67">
        <f>VLOOKUP(D26,设施故障率!B:D,3,FALSE)</f>
        <v>4</v>
      </c>
      <c r="H26" s="68">
        <v>1</v>
      </c>
      <c r="I26" s="68">
        <v>50</v>
      </c>
      <c r="J26" s="74">
        <f>VLOOKUP(D26,设施故障率!B:M,10,FALSE)</f>
        <v>0</v>
      </c>
      <c r="K26" s="74">
        <f>VLOOKUP(D26,设施故障率!B:M,11,FALSE)</f>
        <v>0</v>
      </c>
      <c r="L26" s="75">
        <f t="shared" si="1"/>
        <v>0</v>
      </c>
      <c r="M26" s="75">
        <f t="shared" si="2"/>
        <v>0</v>
      </c>
    </row>
    <row r="27" spans="1:13">
      <c r="A27" s="70"/>
      <c r="B27" s="33" t="s">
        <v>56</v>
      </c>
      <c r="C27" s="71">
        <v>1</v>
      </c>
      <c r="D27" s="63" t="s">
        <v>18</v>
      </c>
      <c r="E27" s="67">
        <f>VLOOKUP(D27,设施故障率!B:D,2,FALSE)</f>
        <v>0.35</v>
      </c>
      <c r="F27" s="67">
        <f t="shared" si="0"/>
        <v>0.0035</v>
      </c>
      <c r="G27" s="67">
        <f>VLOOKUP(D27,设施故障率!B:D,3,FALSE)</f>
        <v>4</v>
      </c>
      <c r="H27" s="68">
        <v>1</v>
      </c>
      <c r="I27" s="68">
        <v>100</v>
      </c>
      <c r="J27" s="74">
        <f>VLOOKUP(D27,设施故障率!B:M,10,FALSE)</f>
        <v>0</v>
      </c>
      <c r="K27" s="74">
        <f>VLOOKUP(D27,设施故障率!B:M,11,FALSE)</f>
        <v>0</v>
      </c>
      <c r="L27" s="75">
        <f t="shared" si="1"/>
        <v>0</v>
      </c>
      <c r="M27" s="75">
        <f t="shared" si="2"/>
        <v>0</v>
      </c>
    </row>
    <row r="28" spans="1:13">
      <c r="A28" s="70"/>
      <c r="B28" s="33" t="s">
        <v>57</v>
      </c>
      <c r="C28" s="71">
        <v>1</v>
      </c>
      <c r="D28" s="63" t="s">
        <v>18</v>
      </c>
      <c r="E28" s="67">
        <f>VLOOKUP(D28,设施故障率!B:D,2,FALSE)</f>
        <v>0.35</v>
      </c>
      <c r="F28" s="67">
        <f t="shared" si="0"/>
        <v>0.0035</v>
      </c>
      <c r="G28" s="67">
        <f>VLOOKUP(D28,设施故障率!B:D,3,FALSE)</f>
        <v>4</v>
      </c>
      <c r="H28" s="68">
        <v>1</v>
      </c>
      <c r="I28" s="68">
        <v>315</v>
      </c>
      <c r="J28" s="74">
        <f>VLOOKUP(D28,设施故障率!B:M,10,FALSE)</f>
        <v>0</v>
      </c>
      <c r="K28" s="74">
        <f>VLOOKUP(D28,设施故障率!B:M,11,FALSE)</f>
        <v>0</v>
      </c>
      <c r="L28" s="75">
        <f t="shared" si="1"/>
        <v>0</v>
      </c>
      <c r="M28" s="75">
        <f t="shared" si="2"/>
        <v>0</v>
      </c>
    </row>
    <row r="29" spans="1:13">
      <c r="A29" s="70"/>
      <c r="B29" s="72" t="s">
        <v>58</v>
      </c>
      <c r="C29" s="71">
        <v>1</v>
      </c>
      <c r="D29" s="63" t="s">
        <v>17</v>
      </c>
      <c r="E29" s="67">
        <f>VLOOKUP(D29,设施故障率!B:D,2,FALSE)</f>
        <v>0.2</v>
      </c>
      <c r="F29" s="67">
        <f t="shared" si="0"/>
        <v>0.002</v>
      </c>
      <c r="G29" s="67">
        <f>VLOOKUP(D29,设施故障率!B:D,3,FALSE)</f>
        <v>2</v>
      </c>
      <c r="H29" s="11"/>
      <c r="I29" s="11"/>
      <c r="J29" s="74">
        <f>VLOOKUP(D29,设施故障率!B:M,10,FALSE)</f>
        <v>0</v>
      </c>
      <c r="K29" s="74">
        <f>VLOOKUP(D29,设施故障率!B:M,11,FALSE)</f>
        <v>0</v>
      </c>
      <c r="L29" s="75">
        <f t="shared" si="1"/>
        <v>0</v>
      </c>
      <c r="M29" s="75">
        <f t="shared" si="2"/>
        <v>0</v>
      </c>
    </row>
    <row r="30" spans="1:13">
      <c r="A30" s="70"/>
      <c r="B30" s="72" t="s">
        <v>59</v>
      </c>
      <c r="C30" s="71">
        <v>1</v>
      </c>
      <c r="D30" s="63" t="s">
        <v>17</v>
      </c>
      <c r="E30" s="67">
        <f>VLOOKUP(D30,设施故障率!B:D,2,FALSE)</f>
        <v>0.2</v>
      </c>
      <c r="F30" s="67">
        <f t="shared" si="0"/>
        <v>0.002</v>
      </c>
      <c r="G30" s="67">
        <f>VLOOKUP(D30,设施故障率!B:D,3,FALSE)</f>
        <v>2</v>
      </c>
      <c r="H30" s="11"/>
      <c r="I30" s="11"/>
      <c r="J30" s="74">
        <f>VLOOKUP(D30,设施故障率!B:M,10,FALSE)</f>
        <v>0</v>
      </c>
      <c r="K30" s="74">
        <f>VLOOKUP(D30,设施故障率!B:M,11,FALSE)</f>
        <v>0</v>
      </c>
      <c r="L30" s="75">
        <f t="shared" si="1"/>
        <v>0</v>
      </c>
      <c r="M30" s="75">
        <f t="shared" si="2"/>
        <v>0</v>
      </c>
    </row>
    <row r="31" spans="1:13">
      <c r="A31" s="70"/>
      <c r="B31" s="72" t="s">
        <v>60</v>
      </c>
      <c r="C31" s="71">
        <v>1</v>
      </c>
      <c r="D31" s="63" t="s">
        <v>17</v>
      </c>
      <c r="E31" s="67">
        <f>VLOOKUP(D31,设施故障率!B:D,2,FALSE)</f>
        <v>0.2</v>
      </c>
      <c r="F31" s="67">
        <f t="shared" si="0"/>
        <v>0.002</v>
      </c>
      <c r="G31" s="67">
        <f>VLOOKUP(D31,设施故障率!B:D,3,FALSE)</f>
        <v>2</v>
      </c>
      <c r="H31" s="11"/>
      <c r="I31" s="11"/>
      <c r="J31" s="74">
        <f>VLOOKUP(D31,设施故障率!B:M,10,FALSE)</f>
        <v>0</v>
      </c>
      <c r="K31" s="74">
        <f>VLOOKUP(D31,设施故障率!B:M,11,FALSE)</f>
        <v>0</v>
      </c>
      <c r="L31" s="75">
        <f t="shared" si="1"/>
        <v>0</v>
      </c>
      <c r="M31" s="75">
        <f t="shared" si="2"/>
        <v>0</v>
      </c>
    </row>
    <row r="32" spans="1:13">
      <c r="A32" s="70"/>
      <c r="B32" s="72" t="s">
        <v>61</v>
      </c>
      <c r="C32" s="71">
        <v>1</v>
      </c>
      <c r="D32" s="63" t="s">
        <v>17</v>
      </c>
      <c r="E32" s="67">
        <f>VLOOKUP(D32,设施故障率!B:D,2,FALSE)</f>
        <v>0.2</v>
      </c>
      <c r="F32" s="67">
        <f t="shared" si="0"/>
        <v>0.002</v>
      </c>
      <c r="G32" s="67">
        <f>VLOOKUP(D32,设施故障率!B:D,3,FALSE)</f>
        <v>2</v>
      </c>
      <c r="H32" s="11"/>
      <c r="I32" s="11"/>
      <c r="J32" s="74">
        <f>VLOOKUP(D32,设施故障率!B:M,10,FALSE)</f>
        <v>0</v>
      </c>
      <c r="K32" s="74">
        <f>VLOOKUP(D32,设施故障率!B:M,11,FALSE)</f>
        <v>0</v>
      </c>
      <c r="L32" s="75">
        <f t="shared" si="1"/>
        <v>0</v>
      </c>
      <c r="M32" s="75">
        <f t="shared" si="2"/>
        <v>0</v>
      </c>
    </row>
    <row r="33" spans="1:13">
      <c r="A33" s="73"/>
      <c r="B33" s="72" t="s">
        <v>62</v>
      </c>
      <c r="C33" s="71">
        <v>1</v>
      </c>
      <c r="D33" s="63" t="s">
        <v>17</v>
      </c>
      <c r="E33" s="67">
        <f>VLOOKUP(D33,设施故障率!B:D,2,FALSE)</f>
        <v>0.2</v>
      </c>
      <c r="F33" s="67">
        <f t="shared" si="0"/>
        <v>0.002</v>
      </c>
      <c r="G33" s="67">
        <f>VLOOKUP(D33,设施故障率!B:D,3,FALSE)</f>
        <v>2</v>
      </c>
      <c r="H33" s="11"/>
      <c r="I33" s="11"/>
      <c r="J33" s="74">
        <f>VLOOKUP(D33,设施故障率!B:M,10,FALSE)</f>
        <v>0</v>
      </c>
      <c r="K33" s="74">
        <f>VLOOKUP(D33,设施故障率!B:M,11,FALSE)</f>
        <v>0</v>
      </c>
      <c r="L33" s="75">
        <f t="shared" si="1"/>
        <v>0</v>
      </c>
      <c r="M33" s="75">
        <f t="shared" si="2"/>
        <v>0</v>
      </c>
    </row>
    <row r="34" spans="2:13">
      <c r="B34" s="68" t="s">
        <v>63</v>
      </c>
      <c r="C34" s="65">
        <v>1</v>
      </c>
      <c r="D34" s="63" t="s">
        <v>16</v>
      </c>
      <c r="E34" s="67">
        <f>VLOOKUP(D34,设施故障率!B:D,2,FALSE)</f>
        <v>0.25</v>
      </c>
      <c r="F34" s="67">
        <f t="shared" ref="F34" si="3">C34/100*E34</f>
        <v>0.0025</v>
      </c>
      <c r="G34" s="67">
        <f>VLOOKUP(D34,设施故障率!B:D,3,FALSE)</f>
        <v>2.5</v>
      </c>
      <c r="J34" s="74">
        <f>VLOOKUP(D34,设施故障率!B:M,10,FALSE)</f>
        <v>0</v>
      </c>
      <c r="K34" s="74">
        <f>VLOOKUP(D34,设施故障率!B:M,11,FALSE)</f>
        <v>0</v>
      </c>
      <c r="L34" s="75">
        <f t="shared" si="1"/>
        <v>0</v>
      </c>
      <c r="M34" s="75">
        <f t="shared" si="2"/>
        <v>0</v>
      </c>
    </row>
  </sheetData>
  <mergeCells count="4">
    <mergeCell ref="A1:B1"/>
    <mergeCell ref="A2:A9"/>
    <mergeCell ref="A10:A14"/>
    <mergeCell ref="A15:A33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Visio.Drawing.11" r:id="rId3">
          <objectPr defaultSize="0" r:id="rId4">
            <anchor moveWithCells="1" sizeWithCells="1">
              <from>
                <xdr:col>13</xdr:col>
                <xdr:colOff>470535</xdr:colOff>
                <xdr:row>0</xdr:row>
                <xdr:rowOff>356235</xdr:rowOff>
              </from>
              <to>
                <xdr:col>22</xdr:col>
                <xdr:colOff>41275</xdr:colOff>
                <xdr:row>12</xdr:row>
                <xdr:rowOff>179705</xdr:rowOff>
              </to>
            </anchor>
          </objectPr>
        </oleObject>
      </mc:Choice>
      <mc:Fallback>
        <oleObject shapeId="1025" progId="Visio.Drawing.11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zoomScale="175" zoomScaleNormal="175" workbookViewId="0">
      <selection activeCell="B4" sqref="B4"/>
    </sheetView>
  </sheetViews>
  <sheetFormatPr defaultColWidth="9" defaultRowHeight="13.5" outlineLevelRow="5" outlineLevelCol="3"/>
  <cols>
    <col min="1" max="1" width="15.4416666666667" customWidth="1"/>
    <col min="2" max="2" width="18.8916666666667" customWidth="1"/>
    <col min="3" max="3" width="25.5583333333333" customWidth="1"/>
    <col min="4" max="4" width="32.225" customWidth="1"/>
    <col min="5" max="5" width="24.3333333333333" customWidth="1"/>
  </cols>
  <sheetData>
    <row r="1" ht="29.4" customHeight="1" spans="1:4">
      <c r="A1" s="2" t="s">
        <v>1</v>
      </c>
      <c r="B1" s="58" t="s">
        <v>64</v>
      </c>
      <c r="C1" s="58" t="s">
        <v>65</v>
      </c>
      <c r="D1" s="58" t="s">
        <v>66</v>
      </c>
    </row>
    <row r="2" spans="1:4">
      <c r="A2" s="2" t="s">
        <v>67</v>
      </c>
      <c r="B2" s="59">
        <v>1</v>
      </c>
      <c r="C2" s="59">
        <v>0.5</v>
      </c>
      <c r="D2" s="59">
        <v>0.3</v>
      </c>
    </row>
    <row r="3" ht="40.2" customHeight="1" spans="1:4">
      <c r="A3" s="2" t="s">
        <v>1</v>
      </c>
      <c r="B3" s="58" t="s">
        <v>68</v>
      </c>
      <c r="C3" s="58" t="s">
        <v>69</v>
      </c>
      <c r="D3" s="58" t="s">
        <v>70</v>
      </c>
    </row>
    <row r="4" spans="1:4">
      <c r="A4" s="2" t="s">
        <v>67</v>
      </c>
      <c r="B4" s="59">
        <v>0.1</v>
      </c>
      <c r="C4" s="59">
        <v>0.1</v>
      </c>
      <c r="D4" s="59">
        <v>0.1</v>
      </c>
    </row>
    <row r="5" ht="21.6" customHeight="1" spans="1:4">
      <c r="A5" s="2" t="s">
        <v>1</v>
      </c>
      <c r="B5" s="58" t="s">
        <v>71</v>
      </c>
      <c r="C5" s="58" t="s">
        <v>72</v>
      </c>
      <c r="D5" s="33" t="s">
        <v>73</v>
      </c>
    </row>
    <row r="6" spans="1:4">
      <c r="A6" s="2" t="s">
        <v>74</v>
      </c>
      <c r="B6" s="59">
        <v>6</v>
      </c>
      <c r="C6" s="59">
        <v>7</v>
      </c>
      <c r="D6" s="59" t="s">
        <v>73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workbookViewId="0">
      <pane ySplit="2040" topLeftCell="A37" activePane="bottomLeft"/>
      <selection/>
      <selection pane="bottomLeft" activeCell="C52" sqref="C52"/>
    </sheetView>
  </sheetViews>
  <sheetFormatPr defaultColWidth="9" defaultRowHeight="13.5"/>
  <cols>
    <col min="1" max="1" width="4.33333333333333" customWidth="1"/>
    <col min="7" max="7" width="12.8916666666667"/>
  </cols>
  <sheetData>
    <row r="1" spans="1:8">
      <c r="A1" s="13" t="s">
        <v>75</v>
      </c>
      <c r="B1" s="13"/>
      <c r="C1" s="13"/>
      <c r="D1" s="13"/>
      <c r="E1" s="13"/>
      <c r="F1" s="13"/>
      <c r="G1" s="13"/>
      <c r="H1" s="13"/>
    </row>
    <row r="2" ht="14.25" spans="2:3">
      <c r="B2" s="13"/>
      <c r="C2" s="13"/>
    </row>
    <row r="3" spans="2:19">
      <c r="B3" s="14" t="s">
        <v>19</v>
      </c>
      <c r="C3" s="14"/>
      <c r="D3" s="15" t="s">
        <v>1</v>
      </c>
      <c r="E3" s="16" t="s">
        <v>76</v>
      </c>
      <c r="F3" s="17"/>
      <c r="G3" s="18"/>
      <c r="H3" s="16" t="s">
        <v>77</v>
      </c>
      <c r="I3" s="17"/>
      <c r="J3" s="18"/>
      <c r="K3" s="16" t="s">
        <v>78</v>
      </c>
      <c r="L3" s="17"/>
      <c r="M3" s="18"/>
      <c r="N3" s="16" t="s">
        <v>79</v>
      </c>
      <c r="O3" s="17"/>
      <c r="P3" s="18"/>
      <c r="Q3" s="16" t="s">
        <v>80</v>
      </c>
      <c r="R3" s="17"/>
      <c r="S3" s="18"/>
    </row>
    <row r="4" ht="15" spans="2:19">
      <c r="B4" s="14"/>
      <c r="C4" s="14"/>
      <c r="D4" s="15"/>
      <c r="E4" s="19" t="s">
        <v>81</v>
      </c>
      <c r="F4" s="20" t="s">
        <v>82</v>
      </c>
      <c r="G4" s="21" t="s">
        <v>83</v>
      </c>
      <c r="H4" s="19" t="s">
        <v>81</v>
      </c>
      <c r="I4" s="20" t="s">
        <v>82</v>
      </c>
      <c r="J4" s="21" t="s">
        <v>83</v>
      </c>
      <c r="K4" s="19" t="s">
        <v>81</v>
      </c>
      <c r="L4" s="20" t="s">
        <v>82</v>
      </c>
      <c r="M4" s="21" t="s">
        <v>83</v>
      </c>
      <c r="N4" s="19" t="s">
        <v>81</v>
      </c>
      <c r="O4" s="20" t="s">
        <v>82</v>
      </c>
      <c r="P4" s="21" t="s">
        <v>83</v>
      </c>
      <c r="Q4" s="19" t="s">
        <v>81</v>
      </c>
      <c r="R4" s="20" t="s">
        <v>82</v>
      </c>
      <c r="S4" s="21" t="s">
        <v>83</v>
      </c>
    </row>
    <row r="5" ht="14.25" spans="2:19">
      <c r="B5" s="22"/>
      <c r="C5" s="22"/>
      <c r="D5" s="23"/>
      <c r="E5" s="24" t="s">
        <v>84</v>
      </c>
      <c r="F5" s="25" t="s">
        <v>85</v>
      </c>
      <c r="G5" s="26" t="s">
        <v>86</v>
      </c>
      <c r="H5" s="24" t="s">
        <v>84</v>
      </c>
      <c r="I5" s="25" t="s">
        <v>85</v>
      </c>
      <c r="J5" s="26" t="s">
        <v>86</v>
      </c>
      <c r="K5" s="24" t="s">
        <v>84</v>
      </c>
      <c r="L5" s="25" t="s">
        <v>85</v>
      </c>
      <c r="M5" s="26" t="s">
        <v>86</v>
      </c>
      <c r="N5" s="24" t="s">
        <v>84</v>
      </c>
      <c r="O5" s="25" t="s">
        <v>85</v>
      </c>
      <c r="P5" s="26" t="s">
        <v>86</v>
      </c>
      <c r="Q5" s="24" t="s">
        <v>84</v>
      </c>
      <c r="R5" s="25" t="s">
        <v>85</v>
      </c>
      <c r="S5" s="26" t="s">
        <v>86</v>
      </c>
    </row>
    <row r="6" ht="15" customHeight="1" spans="2:19">
      <c r="B6" s="27" t="s">
        <v>87</v>
      </c>
      <c r="C6" s="28" t="s">
        <v>44</v>
      </c>
      <c r="D6" s="29" t="str">
        <f>VLOOKUP(C6,数据1!B:I,3,FALSE)</f>
        <v>断路器</v>
      </c>
      <c r="E6" s="30">
        <f>IF(F6&gt;0,VLOOKUP($C6,数据1!$B:$N,5,FALSE),0)</f>
        <v>0.0025</v>
      </c>
      <c r="F6" s="28">
        <v>1.5</v>
      </c>
      <c r="G6" s="31">
        <f>E6*F6</f>
        <v>0.00375</v>
      </c>
      <c r="H6" s="30">
        <f>IF(I6&gt;0,VLOOKUP($C6,数据1!$B:$N,5,FALSE),0)</f>
        <v>0.0025</v>
      </c>
      <c r="I6" s="28">
        <v>1.5</v>
      </c>
      <c r="J6" s="31">
        <f t="shared" ref="J6:J36" si="0">H6*I6</f>
        <v>0.00375</v>
      </c>
      <c r="K6" s="30">
        <f>IF(L6&gt;0,VLOOKUP($C6,数据1!$B:$N,5,FALSE),0)</f>
        <v>0.0025</v>
      </c>
      <c r="L6" s="57">
        <v>1.5</v>
      </c>
      <c r="M6" s="31">
        <f t="shared" ref="M6:M36" si="1">K6*L6</f>
        <v>0.00375</v>
      </c>
      <c r="N6" s="30">
        <f>IF(O6&gt;0,VLOOKUP($C6,数据1!$B:$N,5,FALSE),0)</f>
        <v>0.0025</v>
      </c>
      <c r="O6" s="57">
        <v>1.5</v>
      </c>
      <c r="P6" s="31">
        <f t="shared" ref="P6:P36" si="2">N6*O6</f>
        <v>0.00375</v>
      </c>
      <c r="Q6" s="30">
        <f>IF(R6&gt;0,VLOOKUP($C6,数据1!$B:$N,5,FALSE),0)</f>
        <v>0.0025</v>
      </c>
      <c r="R6" s="57">
        <v>1.5</v>
      </c>
      <c r="S6" s="31">
        <f t="shared" ref="S6:S36" si="3">Q6*R6</f>
        <v>0.00375</v>
      </c>
    </row>
    <row r="7" spans="2:19">
      <c r="B7" s="32"/>
      <c r="C7" s="33" t="s">
        <v>29</v>
      </c>
      <c r="D7" s="34" t="str">
        <f>VLOOKUP(C7,数据1!B:I,3,FALSE)</f>
        <v>架空线</v>
      </c>
      <c r="E7" s="35">
        <f>IF(F7&gt;0,VLOOKUP($C7,数据1!$B:$N,5,FALSE),0)</f>
        <v>0.0015</v>
      </c>
      <c r="F7" s="33">
        <v>1.5</v>
      </c>
      <c r="G7" s="36">
        <f t="shared" ref="G7:G36" si="4">E7*F7</f>
        <v>0.00225</v>
      </c>
      <c r="H7" s="35">
        <f>IF(I7&gt;0,VLOOKUP($C7,数据1!$B:$N,5,FALSE),0)</f>
        <v>0.0015</v>
      </c>
      <c r="I7" s="33">
        <v>1.5</v>
      </c>
      <c r="J7" s="36">
        <f t="shared" si="0"/>
        <v>0.00225</v>
      </c>
      <c r="K7" s="35">
        <f>IF(L7&gt;0,VLOOKUP($C7,数据1!$B:$N,5,FALSE),0)</f>
        <v>0.0015</v>
      </c>
      <c r="L7" s="39">
        <v>1.5</v>
      </c>
      <c r="M7" s="36">
        <f t="shared" si="1"/>
        <v>0.00225</v>
      </c>
      <c r="N7" s="35">
        <f>IF(O7&gt;0,VLOOKUP($C7,数据1!$B:$N,5,FALSE),0)</f>
        <v>0.0015</v>
      </c>
      <c r="O7" s="39">
        <v>1.5</v>
      </c>
      <c r="P7" s="36">
        <f t="shared" si="2"/>
        <v>0.00225</v>
      </c>
      <c r="Q7" s="35">
        <f>IF(R7&gt;0,VLOOKUP($C7,数据1!$B:$N,5,FALSE),0)</f>
        <v>0.0015</v>
      </c>
      <c r="R7" s="39">
        <v>1.5</v>
      </c>
      <c r="S7" s="36">
        <f t="shared" si="3"/>
        <v>0.00225</v>
      </c>
    </row>
    <row r="8" spans="2:19">
      <c r="B8" s="32"/>
      <c r="C8" s="33" t="s">
        <v>30</v>
      </c>
      <c r="D8" s="34" t="str">
        <f>VLOOKUP(C8,数据1!B:I,3,FALSE)</f>
        <v>电缆</v>
      </c>
      <c r="E8" s="35">
        <f>IF(F8&gt;0,VLOOKUP($C8,数据1!$B:$N,5,FALSE),0)</f>
        <v>0.002</v>
      </c>
      <c r="F8" s="33">
        <v>1.5</v>
      </c>
      <c r="G8" s="36">
        <f t="shared" si="4"/>
        <v>0.003</v>
      </c>
      <c r="H8" s="35">
        <f>IF(I8&gt;0,VLOOKUP($C8,数据1!$B:$N,5,FALSE),0)</f>
        <v>0.002</v>
      </c>
      <c r="I8" s="33">
        <v>1.5</v>
      </c>
      <c r="J8" s="36">
        <f t="shared" si="0"/>
        <v>0.003</v>
      </c>
      <c r="K8" s="35">
        <f>IF(L8&gt;0,VLOOKUP($C8,数据1!$B:$N,5,FALSE),0)</f>
        <v>0.002</v>
      </c>
      <c r="L8" s="39">
        <v>1.5</v>
      </c>
      <c r="M8" s="36">
        <f t="shared" si="1"/>
        <v>0.003</v>
      </c>
      <c r="N8" s="35">
        <f>IF(O8&gt;0,VLOOKUP($C8,数据1!$B:$N,5,FALSE),0)</f>
        <v>0.002</v>
      </c>
      <c r="O8" s="39">
        <v>1.5</v>
      </c>
      <c r="P8" s="36">
        <f t="shared" si="2"/>
        <v>0.003</v>
      </c>
      <c r="Q8" s="35">
        <f>IF(R8&gt;0,VLOOKUP($C8,数据1!$B:$N,5,FALSE),0)</f>
        <v>0.002</v>
      </c>
      <c r="R8" s="39">
        <v>1.5</v>
      </c>
      <c r="S8" s="36">
        <f t="shared" si="3"/>
        <v>0.003</v>
      </c>
    </row>
    <row r="9" spans="2:19">
      <c r="B9" s="32"/>
      <c r="C9" s="33" t="s">
        <v>45</v>
      </c>
      <c r="D9" s="34" t="str">
        <f>VLOOKUP(C9,数据1!B:I,3,FALSE)</f>
        <v>断路器</v>
      </c>
      <c r="E9" s="35">
        <f>IF(F9&gt;0,VLOOKUP($C9,数据1!$B:$N,5,FALSE),0)</f>
        <v>0.0025</v>
      </c>
      <c r="F9" s="33">
        <v>1.5</v>
      </c>
      <c r="G9" s="36">
        <f t="shared" si="4"/>
        <v>0.00375</v>
      </c>
      <c r="H9" s="35">
        <f>IF(I9&gt;0,VLOOKUP($C9,数据1!$B:$N,5,FALSE),0)</f>
        <v>0.0025</v>
      </c>
      <c r="I9" s="33">
        <v>1.5</v>
      </c>
      <c r="J9" s="36">
        <f t="shared" si="0"/>
        <v>0.00375</v>
      </c>
      <c r="K9" s="35">
        <f>IF(L9&gt;0,VLOOKUP($C9,数据1!$B:$N,5,FALSE),0)</f>
        <v>0.0025</v>
      </c>
      <c r="L9" s="39">
        <v>1.5</v>
      </c>
      <c r="M9" s="36">
        <f t="shared" si="1"/>
        <v>0.00375</v>
      </c>
      <c r="N9" s="35">
        <f>IF(O9&gt;0,VLOOKUP($C9,数据1!$B:$N,5,FALSE),0)</f>
        <v>0.0025</v>
      </c>
      <c r="O9" s="39">
        <v>1.5</v>
      </c>
      <c r="P9" s="36">
        <f t="shared" si="2"/>
        <v>0.00375</v>
      </c>
      <c r="Q9" s="35">
        <f>IF(R9&gt;0,VLOOKUP($C9,数据1!$B:$N,5,FALSE),0)</f>
        <v>0.0025</v>
      </c>
      <c r="R9" s="39">
        <v>1.5</v>
      </c>
      <c r="S9" s="36">
        <f t="shared" si="3"/>
        <v>0.00375</v>
      </c>
    </row>
    <row r="10" spans="2:19">
      <c r="B10" s="32"/>
      <c r="C10" s="33" t="s">
        <v>47</v>
      </c>
      <c r="D10" s="34" t="str">
        <f>VLOOKUP(C10,数据1!B:I,3,FALSE)</f>
        <v>断路器</v>
      </c>
      <c r="E10" s="35">
        <f>IF(F10&gt;0,VLOOKUP($C10,数据1!$B:$N,5,FALSE),0)</f>
        <v>0.0025</v>
      </c>
      <c r="F10" s="33">
        <v>1.3</v>
      </c>
      <c r="G10" s="36">
        <f t="shared" si="4"/>
        <v>0.00325</v>
      </c>
      <c r="H10" s="35">
        <f>IF(I10&gt;0,VLOOKUP($C10,数据1!$B:$N,5,FALSE),0)</f>
        <v>0.0025</v>
      </c>
      <c r="I10" s="33">
        <v>1.5</v>
      </c>
      <c r="J10" s="36">
        <f t="shared" si="0"/>
        <v>0.00375</v>
      </c>
      <c r="K10" s="35">
        <f>IF(L10&gt;0,VLOOKUP($C10,数据1!$B:$N,5,FALSE),0)</f>
        <v>0.0025</v>
      </c>
      <c r="L10" s="39">
        <v>1.5</v>
      </c>
      <c r="M10" s="36">
        <f t="shared" si="1"/>
        <v>0.00375</v>
      </c>
      <c r="N10" s="35">
        <f>IF(O10&gt;0,VLOOKUP($C10,数据1!$B:$N,5,FALSE),0)</f>
        <v>0.0025</v>
      </c>
      <c r="O10" s="39">
        <v>1.5</v>
      </c>
      <c r="P10" s="36">
        <f t="shared" si="2"/>
        <v>0.00375</v>
      </c>
      <c r="Q10" s="35">
        <f>IF(R10&gt;0,VLOOKUP($C10,数据1!$B:$N,5,FALSE),0)</f>
        <v>0.0025</v>
      </c>
      <c r="R10" s="39">
        <v>1.5</v>
      </c>
      <c r="S10" s="36">
        <f t="shared" si="3"/>
        <v>0.00375</v>
      </c>
    </row>
    <row r="11" spans="2:19">
      <c r="B11" s="32"/>
      <c r="C11" s="33" t="s">
        <v>31</v>
      </c>
      <c r="D11" s="34" t="str">
        <f>VLOOKUP(C11,数据1!B:I,3,FALSE)</f>
        <v>电缆</v>
      </c>
      <c r="E11" s="35">
        <f>IF(F11&gt;0,VLOOKUP($C11,数据1!$B:$N,5,FALSE),0)</f>
        <v>0</v>
      </c>
      <c r="F11" s="33">
        <v>0</v>
      </c>
      <c r="G11" s="36">
        <f t="shared" si="4"/>
        <v>0</v>
      </c>
      <c r="H11" s="35">
        <f>IF(I11&gt;0,VLOOKUP($C11,数据1!$B:$N,5,FALSE),0)</f>
        <v>0.003</v>
      </c>
      <c r="I11" s="33">
        <v>1.5</v>
      </c>
      <c r="J11" s="36">
        <f t="shared" si="0"/>
        <v>0.0045</v>
      </c>
      <c r="K11" s="35">
        <f>IF(L11&gt;0,VLOOKUP($C11,数据1!$B:$N,5,FALSE),0)</f>
        <v>0.003</v>
      </c>
      <c r="L11" s="39">
        <v>1.5</v>
      </c>
      <c r="M11" s="36">
        <f t="shared" si="1"/>
        <v>0.0045</v>
      </c>
      <c r="N11" s="35">
        <f>IF(O11&gt;0,VLOOKUP($C11,数据1!$B:$N,5,FALSE),0)</f>
        <v>0.003</v>
      </c>
      <c r="O11" s="39">
        <v>1.5</v>
      </c>
      <c r="P11" s="36">
        <f t="shared" si="2"/>
        <v>0.0045</v>
      </c>
      <c r="Q11" s="35">
        <f>IF(R11&gt;0,VLOOKUP($C11,数据1!$B:$N,5,FALSE),0)</f>
        <v>0.003</v>
      </c>
      <c r="R11" s="39">
        <v>1.5</v>
      </c>
      <c r="S11" s="36">
        <f t="shared" si="3"/>
        <v>0.0045</v>
      </c>
    </row>
    <row r="12" spans="2:19">
      <c r="B12" s="32"/>
      <c r="C12" s="33" t="s">
        <v>48</v>
      </c>
      <c r="D12" s="34" t="str">
        <f>VLOOKUP(C12,数据1!B:I,3,FALSE)</f>
        <v>隔离开关</v>
      </c>
      <c r="E12" s="35">
        <f>IF(F12&gt;0,VLOOKUP($C12,数据1!$B:$N,5,FALSE),0)</f>
        <v>0</v>
      </c>
      <c r="F12" s="33">
        <v>0</v>
      </c>
      <c r="G12" s="36">
        <f t="shared" si="4"/>
        <v>0</v>
      </c>
      <c r="H12" s="35">
        <f>IF(I12&gt;0,VLOOKUP($C12,数据1!$B:$N,5,FALSE),0)</f>
        <v>0.0025</v>
      </c>
      <c r="I12" s="33">
        <v>2.5</v>
      </c>
      <c r="J12" s="36">
        <f t="shared" si="0"/>
        <v>0.00625</v>
      </c>
      <c r="K12" s="35">
        <f>IF(L12&gt;0,VLOOKUP($C12,数据1!$B:$N,5,FALSE),0)</f>
        <v>0.0025</v>
      </c>
      <c r="L12" s="39">
        <v>1.5</v>
      </c>
      <c r="M12" s="36">
        <f t="shared" si="1"/>
        <v>0.00375</v>
      </c>
      <c r="N12" s="35">
        <f>IF(O12&gt;0,VLOOKUP($C12,数据1!$B:$N,5,FALSE),0)</f>
        <v>0.0025</v>
      </c>
      <c r="O12" s="39">
        <v>1.5</v>
      </c>
      <c r="P12" s="36">
        <f t="shared" si="2"/>
        <v>0.00375</v>
      </c>
      <c r="Q12" s="35">
        <f>IF(R12&gt;0,VLOOKUP($C12,数据1!$B:$N,5,FALSE),0)</f>
        <v>0.0025</v>
      </c>
      <c r="R12" s="39">
        <v>1.5</v>
      </c>
      <c r="S12" s="36">
        <f t="shared" si="3"/>
        <v>0.00375</v>
      </c>
    </row>
    <row r="13" spans="2:19">
      <c r="B13" s="32"/>
      <c r="C13" s="33" t="s">
        <v>32</v>
      </c>
      <c r="D13" s="34" t="str">
        <f>VLOOKUP(C13,数据1!B:I,3,FALSE)</f>
        <v>架空线</v>
      </c>
      <c r="E13" s="35">
        <f>IF(F13&gt;0,VLOOKUP($C13,数据1!$B:$N,5,FALSE),0)</f>
        <v>0</v>
      </c>
      <c r="F13" s="33">
        <v>0</v>
      </c>
      <c r="G13" s="36">
        <f t="shared" si="4"/>
        <v>0</v>
      </c>
      <c r="H13" s="35">
        <f>IF(I13&gt;0,VLOOKUP($C13,数据1!$B:$N,5,FALSE),0)</f>
        <v>0.009</v>
      </c>
      <c r="I13" s="33">
        <v>2</v>
      </c>
      <c r="J13" s="36">
        <f t="shared" si="0"/>
        <v>0.018</v>
      </c>
      <c r="K13" s="35">
        <f>IF(L13&gt;0,VLOOKUP($C13,数据1!$B:$N,5,FALSE),0)</f>
        <v>0.009</v>
      </c>
      <c r="L13" s="39">
        <v>1.5</v>
      </c>
      <c r="M13" s="36">
        <f t="shared" si="1"/>
        <v>0.0135</v>
      </c>
      <c r="N13" s="35">
        <f>IF(O13&gt;0,VLOOKUP($C13,数据1!$B:$N,5,FALSE),0)</f>
        <v>0.009</v>
      </c>
      <c r="O13" s="39">
        <v>1.5</v>
      </c>
      <c r="P13" s="36">
        <f t="shared" si="2"/>
        <v>0.0135</v>
      </c>
      <c r="Q13" s="35">
        <f>IF(R13&gt;0,VLOOKUP($C13,数据1!$B:$N,5,FALSE),0)</f>
        <v>0.009</v>
      </c>
      <c r="R13" s="39">
        <v>1.5</v>
      </c>
      <c r="S13" s="36">
        <f t="shared" si="3"/>
        <v>0.0135</v>
      </c>
    </row>
    <row r="14" spans="2:19">
      <c r="B14" s="32"/>
      <c r="C14" s="33" t="s">
        <v>50</v>
      </c>
      <c r="D14" s="34" t="str">
        <f>VLOOKUP(C14,数据1!B:I,3,FALSE)</f>
        <v>负荷开关</v>
      </c>
      <c r="E14" s="35">
        <f>IF(F14&gt;0,VLOOKUP($C14,数据1!$B:$N,5,FALSE),0)</f>
        <v>0</v>
      </c>
      <c r="F14" s="33">
        <v>0</v>
      </c>
      <c r="G14" s="36">
        <f t="shared" si="4"/>
        <v>0</v>
      </c>
      <c r="H14" s="35">
        <f>IF(I14&gt;0,VLOOKUP($C14,数据1!$B:$N,5,FALSE),0)</f>
        <v>0.002</v>
      </c>
      <c r="I14" s="33">
        <v>1.3</v>
      </c>
      <c r="J14" s="36">
        <f t="shared" si="0"/>
        <v>0.0026</v>
      </c>
      <c r="K14" s="35">
        <f>IF(L14&gt;0,VLOOKUP($C14,数据1!$B:$N,5,FALSE),0)</f>
        <v>0.002</v>
      </c>
      <c r="L14" s="39">
        <v>1.5</v>
      </c>
      <c r="M14" s="36">
        <f t="shared" si="1"/>
        <v>0.003</v>
      </c>
      <c r="N14" s="35">
        <f>IF(O14&gt;0,VLOOKUP($C14,数据1!$B:$N,5,FALSE),0)</f>
        <v>0.002</v>
      </c>
      <c r="O14" s="39">
        <v>1.5</v>
      </c>
      <c r="P14" s="36">
        <f t="shared" si="2"/>
        <v>0.003</v>
      </c>
      <c r="Q14" s="35">
        <f>IF(R14&gt;0,VLOOKUP($C14,数据1!$B:$N,5,FALSE),0)</f>
        <v>0.002</v>
      </c>
      <c r="R14" s="39">
        <v>1.5</v>
      </c>
      <c r="S14" s="36">
        <f t="shared" si="3"/>
        <v>0.003</v>
      </c>
    </row>
    <row r="15" spans="2:19">
      <c r="B15" s="32"/>
      <c r="C15" s="33" t="s">
        <v>33</v>
      </c>
      <c r="D15" s="34" t="str">
        <f>VLOOKUP(C15,数据1!B:I,3,FALSE)</f>
        <v>架空线</v>
      </c>
      <c r="E15" s="35">
        <f>IF(F15&gt;0,VLOOKUP($C15,数据1!$B:$N,5,FALSE),0)</f>
        <v>0</v>
      </c>
      <c r="F15" s="33">
        <v>0</v>
      </c>
      <c r="G15" s="36">
        <f t="shared" si="4"/>
        <v>0</v>
      </c>
      <c r="H15" s="35">
        <f>IF(I15&gt;0,VLOOKUP($C15,数据1!$B:$N,5,FALSE),0)</f>
        <v>0.003</v>
      </c>
      <c r="I15" s="33">
        <v>1.3</v>
      </c>
      <c r="J15" s="36">
        <f t="shared" si="0"/>
        <v>0.0039</v>
      </c>
      <c r="K15" s="35">
        <f>IF(L15&gt;0,VLOOKUP($C15,数据1!$B:$N,5,FALSE),0)</f>
        <v>0.003</v>
      </c>
      <c r="L15" s="39">
        <v>2</v>
      </c>
      <c r="M15" s="36">
        <f t="shared" si="1"/>
        <v>0.006</v>
      </c>
      <c r="N15" s="35">
        <f>IF(O15&gt;0,VLOOKUP($C15,数据1!$B:$N,5,FALSE),0)</f>
        <v>0.003</v>
      </c>
      <c r="O15" s="39">
        <v>2</v>
      </c>
      <c r="P15" s="36">
        <f t="shared" si="2"/>
        <v>0.006</v>
      </c>
      <c r="Q15" s="35">
        <f>IF(R15&gt;0,VLOOKUP($C15,数据1!$B:$N,5,FALSE),0)</f>
        <v>0.003</v>
      </c>
      <c r="R15" s="39">
        <v>2</v>
      </c>
      <c r="S15" s="36">
        <f t="shared" si="3"/>
        <v>0.006</v>
      </c>
    </row>
    <row r="16" spans="2:19">
      <c r="B16" s="32"/>
      <c r="C16" s="33" t="s">
        <v>34</v>
      </c>
      <c r="D16" s="34" t="str">
        <f>VLOOKUP(C16,数据1!B:I,3,FALSE)</f>
        <v>架空线</v>
      </c>
      <c r="E16" s="35">
        <f>IF(F16&gt;0,VLOOKUP($C16,数据1!$B:$N,5,FALSE),0)</f>
        <v>0</v>
      </c>
      <c r="F16" s="33">
        <v>0</v>
      </c>
      <c r="G16" s="36">
        <f t="shared" si="4"/>
        <v>0</v>
      </c>
      <c r="H16" s="35">
        <f>IF(I16&gt;0,VLOOKUP($C16,数据1!$B:$N,5,FALSE),0)</f>
        <v>0.006</v>
      </c>
      <c r="I16" s="33">
        <v>1.3</v>
      </c>
      <c r="J16" s="36">
        <f t="shared" si="0"/>
        <v>0.0078</v>
      </c>
      <c r="K16" s="35">
        <f>IF(L16&gt;0,VLOOKUP($C16,数据1!$B:$N,5,FALSE),0)</f>
        <v>0.006</v>
      </c>
      <c r="L16" s="39">
        <v>2</v>
      </c>
      <c r="M16" s="36">
        <f t="shared" si="1"/>
        <v>0.012</v>
      </c>
      <c r="N16" s="35">
        <f>IF(O16&gt;0,VLOOKUP($C16,数据1!$B:$N,5,FALSE),0)</f>
        <v>0.006</v>
      </c>
      <c r="O16" s="39">
        <v>2</v>
      </c>
      <c r="P16" s="36">
        <f t="shared" si="2"/>
        <v>0.012</v>
      </c>
      <c r="Q16" s="35">
        <f>IF(R16&gt;0,VLOOKUP($C16,数据1!$B:$N,5,FALSE),0)</f>
        <v>0.006</v>
      </c>
      <c r="R16" s="39">
        <v>2</v>
      </c>
      <c r="S16" s="36">
        <f t="shared" si="3"/>
        <v>0.012</v>
      </c>
    </row>
    <row r="17" ht="15" customHeight="1" spans="2:19">
      <c r="B17" s="37" t="s">
        <v>88</v>
      </c>
      <c r="C17" s="33" t="s">
        <v>49</v>
      </c>
      <c r="D17" s="34" t="str">
        <f>VLOOKUP(C17,数据1!B:I,3,FALSE)</f>
        <v>隔离开关</v>
      </c>
      <c r="E17" s="35">
        <f>IF(F17&gt;0,VLOOKUP(C17,数据1!B:I,5,FALSE),0)</f>
        <v>0</v>
      </c>
      <c r="F17" s="33">
        <v>0</v>
      </c>
      <c r="G17" s="36">
        <f t="shared" si="4"/>
        <v>0</v>
      </c>
      <c r="H17" s="35">
        <f>IF(I17&gt;0,VLOOKUP($C17,数据1!$B:$N,5,FALSE),0)</f>
        <v>0.0025</v>
      </c>
      <c r="I17" s="33">
        <v>1.3</v>
      </c>
      <c r="J17" s="36">
        <f t="shared" si="0"/>
        <v>0.00325</v>
      </c>
      <c r="K17" s="35">
        <f>IF(L17&gt;0,VLOOKUP($C17,数据1!$B:$N,5,FALSE),0)</f>
        <v>0.0025</v>
      </c>
      <c r="L17" s="39">
        <v>2.5</v>
      </c>
      <c r="M17" s="36">
        <f t="shared" si="1"/>
        <v>0.00625</v>
      </c>
      <c r="N17" s="35">
        <f>IF(O17&gt;0,VLOOKUP($C17,数据1!$B:$N,5,FALSE),0)</f>
        <v>0.0025</v>
      </c>
      <c r="O17" s="39">
        <v>2.5</v>
      </c>
      <c r="P17" s="36">
        <f t="shared" si="2"/>
        <v>0.00625</v>
      </c>
      <c r="Q17" s="35">
        <f>IF(R17&gt;0,VLOOKUP($C17,数据1!$B:$N,5,FALSE),0)</f>
        <v>0.0025</v>
      </c>
      <c r="R17" s="39">
        <v>2.5</v>
      </c>
      <c r="S17" s="36">
        <f t="shared" si="3"/>
        <v>0.00625</v>
      </c>
    </row>
    <row r="18" spans="2:19">
      <c r="B18" s="38"/>
      <c r="C18" s="33" t="s">
        <v>46</v>
      </c>
      <c r="D18" s="34" t="str">
        <f>VLOOKUP(C18,数据1!B:I,3,FALSE)</f>
        <v>断路器</v>
      </c>
      <c r="E18" s="35">
        <f>IF(F18&gt;0,VLOOKUP(C18,数据1!B:I,5,FALSE),0)</f>
        <v>0.0025</v>
      </c>
      <c r="F18" s="33">
        <v>3</v>
      </c>
      <c r="G18" s="36">
        <f t="shared" si="4"/>
        <v>0.0075</v>
      </c>
      <c r="H18" s="35">
        <f>IF(I18&gt;0,VLOOKUP(C18,数据1!B:I,5,FALSE),0)</f>
        <v>0.0025</v>
      </c>
      <c r="I18" s="33">
        <v>1.3</v>
      </c>
      <c r="J18" s="36">
        <f t="shared" si="0"/>
        <v>0.00325</v>
      </c>
      <c r="K18" s="35">
        <f>IF(L18&gt;0,VLOOKUP($C18,数据1!$B:$N,5,FALSE),0)</f>
        <v>0.0025</v>
      </c>
      <c r="L18" s="39">
        <v>1.3</v>
      </c>
      <c r="M18" s="36">
        <f t="shared" si="1"/>
        <v>0.00325</v>
      </c>
      <c r="N18" s="35">
        <f>IF(O18&gt;0,VLOOKUP($C18,数据1!$B:$N,5,FALSE),0)</f>
        <v>0.0025</v>
      </c>
      <c r="O18" s="39">
        <v>1.3</v>
      </c>
      <c r="P18" s="36">
        <f t="shared" si="2"/>
        <v>0.00325</v>
      </c>
      <c r="Q18" s="35">
        <f>IF(R18&gt;0,VLOOKUP($C18,数据1!$B:$N,5,FALSE),0)</f>
        <v>0.0025</v>
      </c>
      <c r="R18" s="39">
        <v>1.3</v>
      </c>
      <c r="S18" s="36">
        <f t="shared" si="3"/>
        <v>0.00325</v>
      </c>
    </row>
    <row r="19" spans="2:19">
      <c r="B19" s="38"/>
      <c r="C19" s="33" t="s">
        <v>38</v>
      </c>
      <c r="D19" s="34" t="str">
        <f>VLOOKUP(C19,数据1!B:I,3,FALSE)</f>
        <v>电缆</v>
      </c>
      <c r="E19" s="35">
        <f>IF(F19&gt;0,VLOOKUP(C19,数据1!B:I,5,FALSE),0)</f>
        <v>0.001</v>
      </c>
      <c r="F19" s="33">
        <v>5</v>
      </c>
      <c r="G19" s="36">
        <f t="shared" si="4"/>
        <v>0.005</v>
      </c>
      <c r="H19" s="35">
        <f>IF(I19&gt;0,VLOOKUP(C19,数据1!B:I,5,FALSE),0)</f>
        <v>0</v>
      </c>
      <c r="I19" s="33">
        <v>0</v>
      </c>
      <c r="J19" s="36">
        <f t="shared" si="0"/>
        <v>0</v>
      </c>
      <c r="K19" s="35">
        <f>IF(L19&gt;0,VLOOKUP($C19,数据1!$B:$N,5,FALSE),0)</f>
        <v>0</v>
      </c>
      <c r="L19" s="39">
        <v>0</v>
      </c>
      <c r="M19" s="36">
        <f t="shared" si="1"/>
        <v>0</v>
      </c>
      <c r="N19" s="35">
        <f>IF(O19&gt;0,VLOOKUP($C19,数据1!$B:$N,5,FALSE),0)</f>
        <v>0</v>
      </c>
      <c r="O19" s="39">
        <v>0</v>
      </c>
      <c r="P19" s="36">
        <f t="shared" si="2"/>
        <v>0</v>
      </c>
      <c r="Q19" s="35">
        <f>IF(R19&gt;0,VLOOKUP($C19,数据1!$B:$N,5,FALSE),0)</f>
        <v>0</v>
      </c>
      <c r="R19" s="39">
        <v>0</v>
      </c>
      <c r="S19" s="36">
        <f t="shared" si="3"/>
        <v>0</v>
      </c>
    </row>
    <row r="20" spans="2:19">
      <c r="B20" s="38"/>
      <c r="C20" s="33" t="s">
        <v>39</v>
      </c>
      <c r="D20" s="34" t="str">
        <f>VLOOKUP(C20,数据1!B:I,3,FALSE)</f>
        <v>架空线</v>
      </c>
      <c r="E20" s="35">
        <f>IF(F20&gt;0,VLOOKUP(C20,数据1!B:I,5,FALSE),0)</f>
        <v>0</v>
      </c>
      <c r="F20" s="33">
        <v>0</v>
      </c>
      <c r="G20" s="36">
        <f t="shared" si="4"/>
        <v>0</v>
      </c>
      <c r="H20" s="35">
        <f>IF(I20&gt;0,VLOOKUP(C20,数据1!B:I,5,FALSE),0)</f>
        <v>0.0045</v>
      </c>
      <c r="I20" s="33">
        <v>2</v>
      </c>
      <c r="J20" s="36">
        <f t="shared" si="0"/>
        <v>0.009</v>
      </c>
      <c r="K20" s="35">
        <f>IF(L20&gt;0,VLOOKUP($C20,数据1!$B:$N,5,FALSE),0)</f>
        <v>0.0045</v>
      </c>
      <c r="L20" s="39">
        <v>1.5</v>
      </c>
      <c r="M20" s="36">
        <f t="shared" si="1"/>
        <v>0.00675</v>
      </c>
      <c r="N20" s="35">
        <f>IF(O20&gt;0,VLOOKUP($C20,数据1!$B:$N,5,FALSE),0)</f>
        <v>0.0045</v>
      </c>
      <c r="O20" s="39">
        <v>1.5</v>
      </c>
      <c r="P20" s="36">
        <f t="shared" si="2"/>
        <v>0.00675</v>
      </c>
      <c r="Q20" s="35">
        <f>IF(R20&gt;0,VLOOKUP($C20,数据1!$B:$N,5,FALSE),0)</f>
        <v>0.0045</v>
      </c>
      <c r="R20" s="39">
        <v>1.5</v>
      </c>
      <c r="S20" s="36">
        <f t="shared" si="3"/>
        <v>0.00675</v>
      </c>
    </row>
    <row r="21" spans="2:19">
      <c r="B21" s="38"/>
      <c r="C21" s="33" t="s">
        <v>36</v>
      </c>
      <c r="D21" s="34" t="str">
        <f>VLOOKUP(C21,数据1!B:I,3,FALSE)</f>
        <v>架空线</v>
      </c>
      <c r="E21" s="35">
        <f>IF(F21&gt;0,VLOOKUP(C21,数据1!B:I,5,FALSE),0)</f>
        <v>0</v>
      </c>
      <c r="F21" s="33">
        <v>0</v>
      </c>
      <c r="G21" s="36">
        <f t="shared" si="4"/>
        <v>0</v>
      </c>
      <c r="H21" s="35">
        <f>IF(I21&gt;0,VLOOKUP(C21,数据1!B:I,5,FALSE),0)</f>
        <v>0</v>
      </c>
      <c r="I21" s="33">
        <v>0</v>
      </c>
      <c r="J21" s="36">
        <f t="shared" si="0"/>
        <v>0</v>
      </c>
      <c r="K21" s="35">
        <f>IF(L21&gt;0,VLOOKUP($C21,数据1!$B:$N,5,FALSE),0)</f>
        <v>0.003</v>
      </c>
      <c r="L21" s="39">
        <v>2</v>
      </c>
      <c r="M21" s="36">
        <f t="shared" si="1"/>
        <v>0.006</v>
      </c>
      <c r="N21" s="35">
        <f>IF(O21&gt;0,VLOOKUP($C21,数据1!$B:$N,5,FALSE),0)</f>
        <v>0.003</v>
      </c>
      <c r="O21" s="39">
        <v>2</v>
      </c>
      <c r="P21" s="36">
        <f t="shared" si="2"/>
        <v>0.006</v>
      </c>
      <c r="Q21" s="35">
        <f>IF(R21&gt;0,VLOOKUP($C21,数据1!$B:$N,5,FALSE),0)</f>
        <v>0</v>
      </c>
      <c r="R21" s="39">
        <v>0</v>
      </c>
      <c r="S21" s="36">
        <f t="shared" si="3"/>
        <v>0</v>
      </c>
    </row>
    <row r="22" spans="2:19">
      <c r="B22" s="38"/>
      <c r="C22" s="33" t="s">
        <v>40</v>
      </c>
      <c r="D22" s="34" t="str">
        <f>VLOOKUP(C22,数据1!B:I,3,FALSE)</f>
        <v>架空线</v>
      </c>
      <c r="E22" s="35">
        <f>IF(F22&gt;0,VLOOKUP(C22,数据1!B:I,5,FALSE),0)</f>
        <v>0</v>
      </c>
      <c r="F22" s="39">
        <v>0</v>
      </c>
      <c r="G22" s="36">
        <f t="shared" si="4"/>
        <v>0</v>
      </c>
      <c r="H22" s="35">
        <f>IF(I22&gt;0,VLOOKUP(C22,数据1!B:I,5,FALSE),0)</f>
        <v>0</v>
      </c>
      <c r="I22" s="33">
        <v>0</v>
      </c>
      <c r="J22" s="36">
        <f t="shared" si="0"/>
        <v>0</v>
      </c>
      <c r="K22" s="35">
        <f>IF(L22&gt;0,VLOOKUP($C22,数据1!$B:$N,5,FALSE),0)</f>
        <v>0.0045</v>
      </c>
      <c r="L22" s="39">
        <v>2</v>
      </c>
      <c r="M22" s="36">
        <f t="shared" si="1"/>
        <v>0.009</v>
      </c>
      <c r="N22" s="35">
        <f>IF(O22&gt;0,VLOOKUP($C22,数据1!$B:$N,5,FALSE),0)</f>
        <v>0.0045</v>
      </c>
      <c r="O22" s="39">
        <v>1.3</v>
      </c>
      <c r="P22" s="36">
        <f t="shared" si="2"/>
        <v>0.00585</v>
      </c>
      <c r="Q22" s="35">
        <f>IF(R22&gt;0,VLOOKUP($C22,数据1!$B:$N,5,FALSE),0)</f>
        <v>0</v>
      </c>
      <c r="R22" s="39">
        <v>0</v>
      </c>
      <c r="S22" s="36">
        <f t="shared" si="3"/>
        <v>0</v>
      </c>
    </row>
    <row r="23" spans="2:19">
      <c r="B23" s="38"/>
      <c r="C23" s="33" t="s">
        <v>41</v>
      </c>
      <c r="D23" s="34" t="str">
        <f>VLOOKUP(C23,数据1!B:I,3,FALSE)</f>
        <v>架空线</v>
      </c>
      <c r="E23" s="35">
        <f>IF(F23&gt;0,VLOOKUP(C23,数据1!B:I,5,FALSE),0)</f>
        <v>0</v>
      </c>
      <c r="F23" s="39">
        <v>0</v>
      </c>
      <c r="G23" s="36">
        <f t="shared" si="4"/>
        <v>0</v>
      </c>
      <c r="H23" s="35">
        <f>IF(I23&gt;0,VLOOKUP(C23,数据1!B:I,5,FALSE),0)</f>
        <v>0</v>
      </c>
      <c r="I23" s="39">
        <v>0</v>
      </c>
      <c r="J23" s="36">
        <f t="shared" si="0"/>
        <v>0</v>
      </c>
      <c r="K23" s="35">
        <f>IF(L23&gt;0,VLOOKUP($C23,数据1!$B:$N,5,FALSE),0)</f>
        <v>0.0015</v>
      </c>
      <c r="L23" s="39">
        <v>2</v>
      </c>
      <c r="M23" s="36">
        <f t="shared" si="1"/>
        <v>0.003</v>
      </c>
      <c r="N23" s="35">
        <f>IF(O23&gt;0,VLOOKUP($C23,数据1!$B:$N,5,FALSE),0)</f>
        <v>0.0015</v>
      </c>
      <c r="O23" s="39">
        <v>2</v>
      </c>
      <c r="P23" s="36">
        <f t="shared" si="2"/>
        <v>0.003</v>
      </c>
      <c r="Q23" s="35">
        <f>IF(R23&gt;0,VLOOKUP($C23,数据1!$B:$N,5,FALSE),0)</f>
        <v>0</v>
      </c>
      <c r="R23" s="39">
        <v>0</v>
      </c>
      <c r="S23" s="36">
        <f t="shared" si="3"/>
        <v>0</v>
      </c>
    </row>
    <row r="24" spans="2:19">
      <c r="B24" s="38"/>
      <c r="C24" s="33" t="s">
        <v>42</v>
      </c>
      <c r="D24" s="34" t="str">
        <f>VLOOKUP(C24,数据1!B:I,3,FALSE)</f>
        <v>架空线</v>
      </c>
      <c r="E24" s="35">
        <f>IF(F24&gt;0,VLOOKUP(C24,数据1!B:I,5,FALSE),0)</f>
        <v>0</v>
      </c>
      <c r="F24" s="33">
        <v>0</v>
      </c>
      <c r="G24" s="36">
        <f t="shared" si="4"/>
        <v>0</v>
      </c>
      <c r="H24" s="35">
        <f>IF(I24&gt;0,VLOOKUP(C24,数据1!B:I,5,FALSE),0)</f>
        <v>0.003</v>
      </c>
      <c r="I24" s="33">
        <v>1.3</v>
      </c>
      <c r="J24" s="36">
        <f t="shared" si="0"/>
        <v>0.0039</v>
      </c>
      <c r="K24" s="35">
        <f>IF(L24&gt;0,VLOOKUP($C24,数据1!$B:$N,5,FALSE),0)</f>
        <v>0.003</v>
      </c>
      <c r="L24" s="39">
        <v>1.3</v>
      </c>
      <c r="M24" s="36">
        <f t="shared" si="1"/>
        <v>0.0039</v>
      </c>
      <c r="N24" s="35">
        <f>IF(O24&gt;0,VLOOKUP($C24,数据1!$B:$N,5,FALSE),0)</f>
        <v>0.003</v>
      </c>
      <c r="O24" s="39">
        <v>1.3</v>
      </c>
      <c r="P24" s="36">
        <f t="shared" si="2"/>
        <v>0.0039</v>
      </c>
      <c r="Q24" s="35">
        <f>IF(R24&gt;0,VLOOKUP($C24,数据1!$B:$N,5,FALSE),0)</f>
        <v>0.003</v>
      </c>
      <c r="R24" s="39">
        <v>2</v>
      </c>
      <c r="S24" s="36">
        <f t="shared" si="3"/>
        <v>0.006</v>
      </c>
    </row>
    <row r="25" spans="2:19">
      <c r="B25" s="38"/>
      <c r="C25" s="33" t="s">
        <v>63</v>
      </c>
      <c r="D25" s="34" t="str">
        <f>VLOOKUP(C25,数据1!B:I,3,FALSE)</f>
        <v>隔离开关</v>
      </c>
      <c r="E25" s="35">
        <f>IF(F25&gt;0,VLOOKUP(C25,数据1!B:I,5,FALSE),0)</f>
        <v>0</v>
      </c>
      <c r="F25" s="33">
        <v>0</v>
      </c>
      <c r="G25" s="36">
        <f t="shared" si="4"/>
        <v>0</v>
      </c>
      <c r="H25" s="35">
        <f>IF(I25&gt;0,VLOOKUP(C25,数据1!B:I,5,FALSE),0)</f>
        <v>0</v>
      </c>
      <c r="I25" s="33">
        <v>0</v>
      </c>
      <c r="J25" s="36">
        <f t="shared" si="0"/>
        <v>0</v>
      </c>
      <c r="K25" s="35">
        <f>IF(L25&gt;0,VLOOKUP($C25,数据1!$B:$N,5,FALSE),0)</f>
        <v>0.0025</v>
      </c>
      <c r="L25" s="39">
        <v>2.5</v>
      </c>
      <c r="M25" s="36">
        <f t="shared" si="1"/>
        <v>0.00625</v>
      </c>
      <c r="N25" s="35">
        <f>IF(O25&gt;0,VLOOKUP($C25,数据1!$B:$N,5,FALSE),0)</f>
        <v>0.0025</v>
      </c>
      <c r="O25" s="39">
        <v>2.5</v>
      </c>
      <c r="P25" s="36">
        <f t="shared" si="2"/>
        <v>0.00625</v>
      </c>
      <c r="Q25" s="35">
        <f>IF(R25&gt;0,VLOOKUP($C25,数据1!$B:$N,5,FALSE),0)</f>
        <v>0</v>
      </c>
      <c r="R25" s="39">
        <v>0</v>
      </c>
      <c r="S25" s="36">
        <f t="shared" si="3"/>
        <v>0</v>
      </c>
    </row>
    <row r="26" spans="2:19">
      <c r="B26" s="38"/>
      <c r="C26" s="33" t="s">
        <v>52</v>
      </c>
      <c r="D26" s="34" t="str">
        <f>VLOOKUP(C26,数据1!B:I,3,FALSE)</f>
        <v>熔断器</v>
      </c>
      <c r="E26" s="35">
        <f>IF(F26&gt;0,VLOOKUP(C26,数据1!B:I,5,FALSE),0)</f>
        <v>0</v>
      </c>
      <c r="F26" s="33">
        <v>0</v>
      </c>
      <c r="G26" s="36">
        <f t="shared" si="4"/>
        <v>0</v>
      </c>
      <c r="H26" s="35">
        <f>IF(I26&gt;0,VLOOKUP(C26,数据1!B:I,5,FALSE),0)</f>
        <v>0.002</v>
      </c>
      <c r="I26" s="33">
        <v>1.3</v>
      </c>
      <c r="J26" s="36">
        <f t="shared" si="0"/>
        <v>0.0026</v>
      </c>
      <c r="K26" s="35">
        <f>IF(L26&gt;0,VLOOKUP($C26,数据1!$B:$N,5,FALSE),0)</f>
        <v>0.002</v>
      </c>
      <c r="L26" s="39">
        <v>2</v>
      </c>
      <c r="M26" s="36">
        <f t="shared" si="1"/>
        <v>0.004</v>
      </c>
      <c r="N26" s="35">
        <f>IF(O26&gt;0,VLOOKUP($C26,数据1!$B:$N,5,FALSE),0)</f>
        <v>0.002</v>
      </c>
      <c r="O26" s="39">
        <v>2</v>
      </c>
      <c r="P26" s="36">
        <f t="shared" si="2"/>
        <v>0.004</v>
      </c>
      <c r="Q26" s="35">
        <f>IF(R26&gt;0,VLOOKUP($C26,数据1!$B:$N,5,FALSE),0)</f>
        <v>0.002</v>
      </c>
      <c r="R26" s="39">
        <v>2</v>
      </c>
      <c r="S26" s="36">
        <f t="shared" si="3"/>
        <v>0.004</v>
      </c>
    </row>
    <row r="27" spans="2:19">
      <c r="B27" s="38"/>
      <c r="C27" s="33" t="s">
        <v>58</v>
      </c>
      <c r="D27" s="34" t="str">
        <f>VLOOKUP(C27,数据1!B:I,3,FALSE)</f>
        <v>熔断器</v>
      </c>
      <c r="E27" s="35">
        <f>IF(F27&gt;0,VLOOKUP(C27,数据1!B:I,5,FALSE),0)</f>
        <v>0.002</v>
      </c>
      <c r="F27" s="33">
        <v>2</v>
      </c>
      <c r="G27" s="36">
        <f t="shared" si="4"/>
        <v>0.004</v>
      </c>
      <c r="H27" s="35">
        <f>IF(I27&gt;0,VLOOKUP(C27,数据1!B:I,5,FALSE),0)</f>
        <v>0</v>
      </c>
      <c r="I27" s="33">
        <v>0</v>
      </c>
      <c r="J27" s="36">
        <f t="shared" si="0"/>
        <v>0</v>
      </c>
      <c r="K27" s="35">
        <f>IF(L27&gt;0,VLOOKUP($C27,数据1!$B:$N,5,FALSE),0)</f>
        <v>0</v>
      </c>
      <c r="L27" s="39">
        <v>0</v>
      </c>
      <c r="M27" s="36">
        <f t="shared" si="1"/>
        <v>0</v>
      </c>
      <c r="N27" s="35">
        <f>IF(O27&gt;0,VLOOKUP($C27,数据1!$B:$N,5,FALSE),0)</f>
        <v>0</v>
      </c>
      <c r="O27" s="39">
        <v>0</v>
      </c>
      <c r="P27" s="36">
        <f t="shared" si="2"/>
        <v>0</v>
      </c>
      <c r="Q27" s="35">
        <f>IF(R27&gt;0,VLOOKUP($C27,数据1!$B:$N,5,FALSE),0)</f>
        <v>0</v>
      </c>
      <c r="R27" s="39">
        <v>0</v>
      </c>
      <c r="S27" s="36">
        <f t="shared" si="3"/>
        <v>0</v>
      </c>
    </row>
    <row r="28" spans="2:19">
      <c r="B28" s="38"/>
      <c r="C28" s="33" t="s">
        <v>59</v>
      </c>
      <c r="D28" s="34" t="str">
        <f>VLOOKUP(C28,数据1!B:I,3,FALSE)</f>
        <v>熔断器</v>
      </c>
      <c r="E28" s="35">
        <f>IF(F28&gt;0,VLOOKUP(C28,数据1!B:I,5,FALSE),0)</f>
        <v>0</v>
      </c>
      <c r="F28" s="33">
        <v>0</v>
      </c>
      <c r="G28" s="36">
        <f t="shared" si="4"/>
        <v>0</v>
      </c>
      <c r="H28" s="35">
        <f>IF(I28&gt;0,VLOOKUP(C28,数据1!B:I,5,FALSE),0)</f>
        <v>0.002</v>
      </c>
      <c r="I28" s="33">
        <v>2</v>
      </c>
      <c r="J28" s="36">
        <f t="shared" si="0"/>
        <v>0.004</v>
      </c>
      <c r="K28" s="35">
        <f>IF(L28&gt;0,VLOOKUP($C28,数据1!$B:$N,5,FALSE),0)</f>
        <v>0.002</v>
      </c>
      <c r="L28" s="39">
        <v>1.5</v>
      </c>
      <c r="M28" s="36">
        <f t="shared" si="1"/>
        <v>0.003</v>
      </c>
      <c r="N28" s="35">
        <f>IF(O28&gt;0,VLOOKUP($C28,数据1!$B:$N,5,FALSE),0)</f>
        <v>0.002</v>
      </c>
      <c r="O28" s="39">
        <v>1.5</v>
      </c>
      <c r="P28" s="36">
        <f t="shared" si="2"/>
        <v>0.003</v>
      </c>
      <c r="Q28" s="35">
        <f>IF(R28&gt;0,VLOOKUP($C28,数据1!$B:$N,5,FALSE),0)</f>
        <v>0.002</v>
      </c>
      <c r="R28" s="39">
        <v>1.5</v>
      </c>
      <c r="S28" s="36">
        <f t="shared" si="3"/>
        <v>0.003</v>
      </c>
    </row>
    <row r="29" spans="2:19">
      <c r="B29" s="38"/>
      <c r="C29" s="33" t="s">
        <v>60</v>
      </c>
      <c r="D29" s="34" t="str">
        <f>VLOOKUP(C29,数据1!B:I,3,FALSE)</f>
        <v>熔断器</v>
      </c>
      <c r="E29" s="35">
        <f>IF(F29&gt;0,VLOOKUP(C29,数据1!B:I,5,FALSE),0)</f>
        <v>0</v>
      </c>
      <c r="F29" s="33">
        <v>0</v>
      </c>
      <c r="G29" s="36">
        <f t="shared" si="4"/>
        <v>0</v>
      </c>
      <c r="H29" s="35">
        <f>IF(I29&gt;0,VLOOKUP(C29,数据1!B:I,5,FALSE),0)</f>
        <v>0</v>
      </c>
      <c r="I29" s="33">
        <v>0</v>
      </c>
      <c r="J29" s="36">
        <f t="shared" si="0"/>
        <v>0</v>
      </c>
      <c r="K29" s="35">
        <f>IF(L29&gt;0,VLOOKUP($C29,数据1!$B:$N,5,FALSE),0)</f>
        <v>0.002</v>
      </c>
      <c r="L29" s="39">
        <v>2</v>
      </c>
      <c r="M29" s="36">
        <f t="shared" si="1"/>
        <v>0.004</v>
      </c>
      <c r="N29" s="35">
        <f>IF(O29&gt;0,VLOOKUP($C29,数据1!$B:$N,5,FALSE),0)</f>
        <v>0.002</v>
      </c>
      <c r="O29" s="39">
        <v>1.3</v>
      </c>
      <c r="P29" s="36">
        <f t="shared" si="2"/>
        <v>0.0026</v>
      </c>
      <c r="Q29" s="35">
        <f>IF(R29&gt;0,VLOOKUP($C29,数据1!$B:$N,5,FALSE),0)</f>
        <v>0</v>
      </c>
      <c r="R29" s="39">
        <v>0</v>
      </c>
      <c r="S29" s="36">
        <f t="shared" si="3"/>
        <v>0</v>
      </c>
    </row>
    <row r="30" spans="2:19">
      <c r="B30" s="38"/>
      <c r="C30" s="33" t="s">
        <v>61</v>
      </c>
      <c r="D30" s="34" t="str">
        <f>VLOOKUP(C30,数据1!B:I,3,FALSE)</f>
        <v>熔断器</v>
      </c>
      <c r="E30" s="35">
        <f>IF(F30&gt;0,VLOOKUP(C30,数据1!B:I,5,FALSE),0)</f>
        <v>0</v>
      </c>
      <c r="F30" s="33">
        <v>0</v>
      </c>
      <c r="G30" s="36">
        <f t="shared" si="4"/>
        <v>0</v>
      </c>
      <c r="H30" s="35">
        <f>IF(I30&gt;0,VLOOKUP(C30,数据1!B:I,5,FALSE),0)</f>
        <v>0</v>
      </c>
      <c r="I30" s="33">
        <v>0</v>
      </c>
      <c r="J30" s="36">
        <f t="shared" si="0"/>
        <v>0</v>
      </c>
      <c r="K30" s="35">
        <f>IF(L30&gt;0,VLOOKUP($C30,数据1!$B:$N,5,FALSE),0)</f>
        <v>0.002</v>
      </c>
      <c r="L30" s="39">
        <v>2</v>
      </c>
      <c r="M30" s="36">
        <f t="shared" si="1"/>
        <v>0.004</v>
      </c>
      <c r="N30" s="35">
        <f>IF(O30&gt;0,VLOOKUP($C30,数据1!$B:$N,5,FALSE),0)</f>
        <v>0.002</v>
      </c>
      <c r="O30" s="39">
        <v>2</v>
      </c>
      <c r="P30" s="36">
        <f t="shared" si="2"/>
        <v>0.004</v>
      </c>
      <c r="Q30" s="35">
        <f>IF(R30&gt;0,VLOOKUP($C30,数据1!$B:$N,5,FALSE),0)</f>
        <v>0</v>
      </c>
      <c r="R30" s="39">
        <v>0</v>
      </c>
      <c r="S30" s="36">
        <f t="shared" si="3"/>
        <v>0</v>
      </c>
    </row>
    <row r="31" spans="2:19">
      <c r="B31" s="38"/>
      <c r="C31" s="33" t="s">
        <v>62</v>
      </c>
      <c r="D31" s="34" t="str">
        <f>VLOOKUP(C31,数据1!B:I,3,FALSE)</f>
        <v>熔断器</v>
      </c>
      <c r="E31" s="35">
        <f>IF(F31&gt;0,VLOOKUP(C31,数据1!B:I,5,FALSE),0)</f>
        <v>0</v>
      </c>
      <c r="F31" s="33">
        <v>0</v>
      </c>
      <c r="G31" s="36">
        <f t="shared" si="4"/>
        <v>0</v>
      </c>
      <c r="H31" s="35">
        <f>IF(I31&gt;0,VLOOKUP(C31,数据1!B:I,5,FALSE),0)</f>
        <v>0.002</v>
      </c>
      <c r="I31" s="33">
        <v>1.3</v>
      </c>
      <c r="J31" s="36">
        <f t="shared" si="0"/>
        <v>0.0026</v>
      </c>
      <c r="K31" s="35">
        <f>IF(L31&gt;0,VLOOKUP($C31,数据1!$B:$N,5,FALSE),0)</f>
        <v>0.002</v>
      </c>
      <c r="L31" s="39">
        <v>1.3</v>
      </c>
      <c r="M31" s="36">
        <f t="shared" si="1"/>
        <v>0.0026</v>
      </c>
      <c r="N31" s="35">
        <f>IF(O31&gt;0,VLOOKUP($C31,数据1!$B:$N,5,FALSE),0)</f>
        <v>0.002</v>
      </c>
      <c r="O31" s="39">
        <v>1.3</v>
      </c>
      <c r="P31" s="36">
        <f t="shared" si="2"/>
        <v>0.0026</v>
      </c>
      <c r="Q31" s="35">
        <f>IF(R31&gt;0,VLOOKUP($C31,数据1!$B:$N,5,FALSE),0)</f>
        <v>0.002</v>
      </c>
      <c r="R31" s="39">
        <v>2</v>
      </c>
      <c r="S31" s="36">
        <f t="shared" si="3"/>
        <v>0.004</v>
      </c>
    </row>
    <row r="32" spans="2:19">
      <c r="B32" s="38"/>
      <c r="C32" s="33" t="s">
        <v>53</v>
      </c>
      <c r="D32" s="34" t="str">
        <f>VLOOKUP(C32,数据1!B:I,3,FALSE)</f>
        <v>变压器</v>
      </c>
      <c r="E32" s="35">
        <f>IF(F32&gt;0,VLOOKUP(C32,数据1!B:I,5,FALSE),0)</f>
        <v>0.0035</v>
      </c>
      <c r="F32" s="33">
        <v>4</v>
      </c>
      <c r="G32" s="36">
        <f t="shared" si="4"/>
        <v>0.014</v>
      </c>
      <c r="H32" s="35">
        <f>IF(I32&gt;0,VLOOKUP(C32,数据1!B:I,5,FALSE),0)</f>
        <v>0</v>
      </c>
      <c r="I32" s="33">
        <v>0</v>
      </c>
      <c r="J32" s="36">
        <f t="shared" si="0"/>
        <v>0</v>
      </c>
      <c r="K32" s="35">
        <f>IF(L32&gt;0,VLOOKUP($C32,数据1!$B:$N,5,FALSE),0)</f>
        <v>0</v>
      </c>
      <c r="L32" s="39">
        <v>0</v>
      </c>
      <c r="M32" s="36">
        <f t="shared" si="1"/>
        <v>0</v>
      </c>
      <c r="N32" s="35">
        <f>IF(O32&gt;0,VLOOKUP($C32,数据1!$B:$N,5,FALSE),0)</f>
        <v>0</v>
      </c>
      <c r="O32" s="39">
        <v>0</v>
      </c>
      <c r="P32" s="36">
        <f t="shared" si="2"/>
        <v>0</v>
      </c>
      <c r="Q32" s="35">
        <f>IF(R32&gt;0,VLOOKUP($C32,数据1!$B:$N,5,FALSE),0)</f>
        <v>0</v>
      </c>
      <c r="R32" s="39">
        <v>0</v>
      </c>
      <c r="S32" s="36">
        <f t="shared" si="3"/>
        <v>0</v>
      </c>
    </row>
    <row r="33" spans="2:19">
      <c r="B33" s="38"/>
      <c r="C33" s="33" t="s">
        <v>54</v>
      </c>
      <c r="D33" s="34" t="str">
        <f>VLOOKUP(C33,数据1!B:I,3,FALSE)</f>
        <v>变压器</v>
      </c>
      <c r="E33" s="35">
        <f>IF(F33&gt;0,VLOOKUP(C33,数据1!B:I,5,FALSE),0)</f>
        <v>0</v>
      </c>
      <c r="F33" s="33">
        <v>0</v>
      </c>
      <c r="G33" s="36">
        <f t="shared" si="4"/>
        <v>0</v>
      </c>
      <c r="H33" s="35">
        <f>IF(I33&gt;0,VLOOKUP(C33,数据1!B:I,5,FALSE),0)</f>
        <v>0.0035</v>
      </c>
      <c r="I33" s="33">
        <v>4</v>
      </c>
      <c r="J33" s="36">
        <f t="shared" si="0"/>
        <v>0.014</v>
      </c>
      <c r="K33" s="35">
        <f>IF(L33&gt;0,VLOOKUP($C33,数据1!$B:$N,5,FALSE),0)</f>
        <v>0</v>
      </c>
      <c r="L33" s="39">
        <v>0</v>
      </c>
      <c r="M33" s="36">
        <f t="shared" si="1"/>
        <v>0</v>
      </c>
      <c r="N33" s="35">
        <f>IF(O33&gt;0,VLOOKUP($C33,数据1!$B:$N,5,FALSE),0)</f>
        <v>0</v>
      </c>
      <c r="O33" s="39">
        <v>0</v>
      </c>
      <c r="P33" s="36">
        <f t="shared" si="2"/>
        <v>0</v>
      </c>
      <c r="Q33" s="35">
        <f>IF(R33&gt;0,VLOOKUP($C33,数据1!$B:$N,5,FALSE),0)</f>
        <v>0</v>
      </c>
      <c r="R33" s="39">
        <v>0</v>
      </c>
      <c r="S33" s="36">
        <f t="shared" si="3"/>
        <v>0</v>
      </c>
    </row>
    <row r="34" spans="2:19">
      <c r="B34" s="38"/>
      <c r="C34" s="33" t="s">
        <v>55</v>
      </c>
      <c r="D34" s="34" t="str">
        <f>VLOOKUP(C34,数据1!B:I,3,FALSE)</f>
        <v>变压器</v>
      </c>
      <c r="E34" s="35">
        <f>IF(F34&gt;0,VLOOKUP(C34,数据1!B:I,5,FALSE),0)</f>
        <v>0</v>
      </c>
      <c r="F34" s="33">
        <v>0</v>
      </c>
      <c r="G34" s="36">
        <f t="shared" si="4"/>
        <v>0</v>
      </c>
      <c r="H34" s="35">
        <f>IF(I34&gt;0,VLOOKUP(C34,数据1!B:I,5,FALSE),0)</f>
        <v>0</v>
      </c>
      <c r="I34" s="33">
        <v>0</v>
      </c>
      <c r="J34" s="36">
        <f t="shared" si="0"/>
        <v>0</v>
      </c>
      <c r="K34" s="35">
        <f>IF(L34&gt;0,VLOOKUP($C34,数据1!$B:$N,5,FALSE),0)</f>
        <v>0.0035</v>
      </c>
      <c r="L34" s="39">
        <v>4</v>
      </c>
      <c r="M34" s="36">
        <f t="shared" si="1"/>
        <v>0.014</v>
      </c>
      <c r="N34" s="35">
        <f>IF(O34&gt;0,VLOOKUP($C34,数据1!$B:$N,5,FALSE),0)</f>
        <v>0</v>
      </c>
      <c r="O34" s="39">
        <v>0</v>
      </c>
      <c r="P34" s="36">
        <f t="shared" si="2"/>
        <v>0</v>
      </c>
      <c r="Q34" s="35">
        <f>IF(R34&gt;0,VLOOKUP($C34,数据1!$B:$N,5,FALSE),0)</f>
        <v>0</v>
      </c>
      <c r="R34" s="39">
        <v>0</v>
      </c>
      <c r="S34" s="36">
        <f t="shared" si="3"/>
        <v>0</v>
      </c>
    </row>
    <row r="35" spans="2:19">
      <c r="B35" s="38"/>
      <c r="C35" s="33" t="s">
        <v>56</v>
      </c>
      <c r="D35" s="34" t="str">
        <f>VLOOKUP(C35,数据1!B:I,3,FALSE)</f>
        <v>变压器</v>
      </c>
      <c r="E35" s="35">
        <f>IF(F35&gt;0,VLOOKUP(C35,数据1!B:I,5,FALSE),0)</f>
        <v>0</v>
      </c>
      <c r="F35" s="33">
        <v>0</v>
      </c>
      <c r="G35" s="36">
        <f t="shared" si="4"/>
        <v>0</v>
      </c>
      <c r="H35" s="35">
        <f>IF(I35&gt;0,VLOOKUP(C35,数据1!B:I,5,FALSE),0)</f>
        <v>0</v>
      </c>
      <c r="I35" s="33">
        <v>0</v>
      </c>
      <c r="J35" s="36">
        <f t="shared" si="0"/>
        <v>0</v>
      </c>
      <c r="K35" s="35">
        <f>IF(L35&gt;0,VLOOKUP($C35,数据1!$B:$N,5,FALSE),0)</f>
        <v>0</v>
      </c>
      <c r="L35" s="39">
        <v>0</v>
      </c>
      <c r="M35" s="36">
        <f t="shared" si="1"/>
        <v>0</v>
      </c>
      <c r="N35" s="35">
        <f>IF(O35&gt;0,VLOOKUP($C35,数据1!$B:$N,5,FALSE),0)</f>
        <v>0.0035</v>
      </c>
      <c r="O35" s="39">
        <v>4</v>
      </c>
      <c r="P35" s="36">
        <f t="shared" si="2"/>
        <v>0.014</v>
      </c>
      <c r="Q35" s="35">
        <f>IF(R35&gt;0,VLOOKUP($C35,数据1!$B:$N,5,FALSE),0)</f>
        <v>0</v>
      </c>
      <c r="R35" s="39">
        <v>0</v>
      </c>
      <c r="S35" s="36">
        <f t="shared" si="3"/>
        <v>0</v>
      </c>
    </row>
    <row r="36" spans="2:19">
      <c r="B36" s="40"/>
      <c r="C36" s="33" t="s">
        <v>57</v>
      </c>
      <c r="D36" s="34" t="str">
        <f>VLOOKUP(C36,数据1!B:I,3,FALSE)</f>
        <v>变压器</v>
      </c>
      <c r="E36" s="35">
        <f>IF(F36&gt;0,VLOOKUP(C36,数据1!B:I,5,FALSE),0)</f>
        <v>0</v>
      </c>
      <c r="F36" s="33">
        <v>0</v>
      </c>
      <c r="G36" s="36">
        <f t="shared" si="4"/>
        <v>0</v>
      </c>
      <c r="H36" s="35">
        <f>IF(I36&gt;0,VLOOKUP(C36,数据1!B:I,5,FALSE),0)</f>
        <v>0</v>
      </c>
      <c r="I36" s="33">
        <v>0</v>
      </c>
      <c r="J36" s="36">
        <f t="shared" si="0"/>
        <v>0</v>
      </c>
      <c r="K36" s="35">
        <f>IF(L36&gt;0,VLOOKUP($C36,数据1!$B:$N,5,FALSE),0)</f>
        <v>0</v>
      </c>
      <c r="L36" s="39">
        <v>0</v>
      </c>
      <c r="M36" s="36">
        <f t="shared" si="1"/>
        <v>0</v>
      </c>
      <c r="N36" s="35">
        <f>IF(O36&gt;0,VLOOKUP($C36,数据1!$B:$N,5,FALSE),0)</f>
        <v>0</v>
      </c>
      <c r="O36" s="39">
        <v>0</v>
      </c>
      <c r="P36" s="36">
        <f t="shared" si="2"/>
        <v>0</v>
      </c>
      <c r="Q36" s="35">
        <f>IF(R36&gt;0,VLOOKUP($C36,数据1!$B:$N,5,FALSE),0)</f>
        <v>0.0035</v>
      </c>
      <c r="R36" s="39">
        <v>4</v>
      </c>
      <c r="S36" s="36">
        <f t="shared" si="3"/>
        <v>0.014</v>
      </c>
    </row>
    <row r="37" ht="14.25" spans="2:19">
      <c r="B37" s="41" t="s">
        <v>89</v>
      </c>
      <c r="C37" s="42" t="s">
        <v>90</v>
      </c>
      <c r="D37" s="43"/>
      <c r="E37" s="44">
        <f t="shared" ref="E37:H37" si="5">SUM(E6:E36)</f>
        <v>0.02</v>
      </c>
      <c r="F37" s="45">
        <f>G37/E37</f>
        <v>2.325</v>
      </c>
      <c r="G37" s="46">
        <f t="shared" si="5"/>
        <v>0.0465</v>
      </c>
      <c r="H37" s="44">
        <f t="shared" si="5"/>
        <v>0.0585</v>
      </c>
      <c r="I37" s="45">
        <f>J37/H37</f>
        <v>1.74615384615385</v>
      </c>
      <c r="J37" s="46">
        <f t="shared" ref="J37:N37" si="6">SUM(J6:J36)</f>
        <v>0.10215</v>
      </c>
      <c r="K37" s="44">
        <f t="shared" si="6"/>
        <v>0.074</v>
      </c>
      <c r="L37" s="45">
        <f>M37/K37</f>
        <v>1.8277027027027</v>
      </c>
      <c r="M37" s="46">
        <f t="shared" si="6"/>
        <v>0.13525</v>
      </c>
      <c r="N37" s="44">
        <f t="shared" si="6"/>
        <v>0.074</v>
      </c>
      <c r="O37" s="45">
        <f>P37/N37</f>
        <v>1.76621621621622</v>
      </c>
      <c r="P37" s="46">
        <f t="shared" ref="P37:S37" si="7">SUM(P6:P36)</f>
        <v>0.1307</v>
      </c>
      <c r="Q37" s="44">
        <f t="shared" si="7"/>
        <v>0.0585</v>
      </c>
      <c r="R37" s="45">
        <f>S37/Q37</f>
        <v>1.82051282051282</v>
      </c>
      <c r="S37" s="46">
        <f t="shared" si="7"/>
        <v>0.1065</v>
      </c>
    </row>
    <row r="38" spans="2:19">
      <c r="B38" s="47" t="s">
        <v>91</v>
      </c>
      <c r="C38" s="28" t="s">
        <v>29</v>
      </c>
      <c r="D38" s="29" t="str">
        <f>VLOOKUP(C38,数据1!B:I,3,FALSE)</f>
        <v>架空线</v>
      </c>
      <c r="E38" s="30">
        <f>IF(F38&gt;0,VLOOKUP($C38,数据1!$B:$N,11,FALSE),0)</f>
        <v>0.03</v>
      </c>
      <c r="F38" s="28">
        <v>0.2</v>
      </c>
      <c r="G38" s="31">
        <f t="shared" ref="G38:G49" si="8">E38*F38</f>
        <v>0.006</v>
      </c>
      <c r="H38" s="30">
        <f>IF(I38&gt;0,VLOOKUP($C38,数据1!$B:$N,11,FALSE),0)</f>
        <v>0.03</v>
      </c>
      <c r="I38" s="28">
        <v>0.2</v>
      </c>
      <c r="J38" s="31">
        <f t="shared" ref="J38:J49" si="9">H38*I38</f>
        <v>0.006</v>
      </c>
      <c r="K38" s="30">
        <f>IF(L38&gt;0,VLOOKUP($C38,数据1!$B:$N,11,FALSE),0)</f>
        <v>0.03</v>
      </c>
      <c r="L38" s="57">
        <v>0.2</v>
      </c>
      <c r="M38" s="31">
        <f t="shared" ref="M38:M49" si="10">K38*L38</f>
        <v>0.006</v>
      </c>
      <c r="N38" s="30">
        <f>IF(O38&gt;0,VLOOKUP($C38,数据1!$B:$N,11,FALSE),0)</f>
        <v>0.03</v>
      </c>
      <c r="O38" s="57">
        <v>0.2</v>
      </c>
      <c r="P38" s="31">
        <f t="shared" ref="P38:P49" si="11">N38*O38</f>
        <v>0.006</v>
      </c>
      <c r="Q38" s="30">
        <f>IF(R38&gt;0,VLOOKUP($C38,数据1!$B:$N,11,FALSE),0)</f>
        <v>0.03</v>
      </c>
      <c r="R38" s="57">
        <v>0.2</v>
      </c>
      <c r="S38" s="31">
        <f t="shared" ref="S38:S49" si="12">Q38*R38</f>
        <v>0.006</v>
      </c>
    </row>
    <row r="39" spans="2:19">
      <c r="B39" s="38"/>
      <c r="C39" s="33" t="s">
        <v>30</v>
      </c>
      <c r="D39" s="34" t="str">
        <f>VLOOKUP(C39,数据1!B:I,3,FALSE)</f>
        <v>电缆</v>
      </c>
      <c r="E39" s="35">
        <f>IF(F39&gt;0,VLOOKUP($C39,数据1!$B:$N,11,FALSE),0)</f>
        <v>0.12</v>
      </c>
      <c r="F39" s="33">
        <v>0.2</v>
      </c>
      <c r="G39" s="36">
        <f t="shared" si="8"/>
        <v>0.024</v>
      </c>
      <c r="H39" s="35">
        <f>IF(I39&gt;0,VLOOKUP($C39,数据1!$B:$N,11,FALSE),0)</f>
        <v>0.12</v>
      </c>
      <c r="I39" s="33">
        <v>0.2</v>
      </c>
      <c r="J39" s="36">
        <f t="shared" si="9"/>
        <v>0.024</v>
      </c>
      <c r="K39" s="35">
        <f>IF(L39&gt;0,VLOOKUP($C39,数据1!$B:$N,11,FALSE),0)</f>
        <v>0.12</v>
      </c>
      <c r="L39" s="39">
        <v>0.2</v>
      </c>
      <c r="M39" s="36">
        <f t="shared" si="10"/>
        <v>0.024</v>
      </c>
      <c r="N39" s="35">
        <f>IF(O39&gt;0,VLOOKUP($C39,数据1!$B:$N,11,FALSE),0)</f>
        <v>0.12</v>
      </c>
      <c r="O39" s="39">
        <v>0.2</v>
      </c>
      <c r="P39" s="36">
        <f t="shared" si="11"/>
        <v>0.024</v>
      </c>
      <c r="Q39" s="35">
        <f>IF(R39&gt;0,VLOOKUP($C39,数据1!$B:$N,11,FALSE),0)</f>
        <v>0.12</v>
      </c>
      <c r="R39" s="39">
        <v>0.2</v>
      </c>
      <c r="S39" s="36">
        <f t="shared" si="12"/>
        <v>0.024</v>
      </c>
    </row>
    <row r="40" spans="2:19">
      <c r="B40" s="38"/>
      <c r="C40" s="33" t="s">
        <v>31</v>
      </c>
      <c r="D40" s="34" t="str">
        <f>VLOOKUP(C40,数据1!B:I,3,FALSE)</f>
        <v>电缆</v>
      </c>
      <c r="E40" s="35">
        <f>IF(F40&gt;0,VLOOKUP($C40,数据1!$B:$N,11,FALSE),0)</f>
        <v>0</v>
      </c>
      <c r="F40" s="33">
        <v>0</v>
      </c>
      <c r="G40" s="36">
        <f t="shared" si="8"/>
        <v>0</v>
      </c>
      <c r="H40" s="35">
        <f>IF(I40&gt;0,VLOOKUP($C40,数据1!$B:$N,11,FALSE),0)</f>
        <v>0.18</v>
      </c>
      <c r="I40" s="33">
        <v>0.2</v>
      </c>
      <c r="J40" s="36">
        <f t="shared" si="9"/>
        <v>0.036</v>
      </c>
      <c r="K40" s="35">
        <f>IF(L40&gt;0,VLOOKUP($C40,数据1!$B:$N,11,FALSE),0)</f>
        <v>0.18</v>
      </c>
      <c r="L40" s="39">
        <v>0.2</v>
      </c>
      <c r="M40" s="36">
        <f t="shared" si="10"/>
        <v>0.036</v>
      </c>
      <c r="N40" s="35">
        <f>IF(O40&gt;0,VLOOKUP($C40,数据1!$B:$N,11,FALSE),0)</f>
        <v>0.18</v>
      </c>
      <c r="O40" s="39">
        <v>0.2</v>
      </c>
      <c r="P40" s="36">
        <f t="shared" si="11"/>
        <v>0.036</v>
      </c>
      <c r="Q40" s="35">
        <f>IF(R40&gt;0,VLOOKUP($C40,数据1!$B:$N,11,FALSE),0)</f>
        <v>0.18</v>
      </c>
      <c r="R40" s="39">
        <v>0.2</v>
      </c>
      <c r="S40" s="36">
        <f t="shared" si="12"/>
        <v>0.036</v>
      </c>
    </row>
    <row r="41" spans="2:19">
      <c r="B41" s="38"/>
      <c r="C41" s="33" t="s">
        <v>32</v>
      </c>
      <c r="D41" s="34" t="str">
        <f>VLOOKUP(C41,数据1!B:I,3,FALSE)</f>
        <v>架空线</v>
      </c>
      <c r="E41" s="35">
        <f>IF(F41&gt;0,VLOOKUP($C41,数据1!$B:$N,11,FALSE),0)</f>
        <v>0</v>
      </c>
      <c r="F41" s="33">
        <v>0</v>
      </c>
      <c r="G41" s="36">
        <f t="shared" si="8"/>
        <v>0</v>
      </c>
      <c r="H41" s="35">
        <f>IF(I41&gt;0,VLOOKUP($C41,数据1!$B:$N,11,FALSE),0)</f>
        <v>0.18</v>
      </c>
      <c r="I41" s="33">
        <v>7</v>
      </c>
      <c r="J41" s="36">
        <f t="shared" si="9"/>
        <v>1.26</v>
      </c>
      <c r="K41" s="35">
        <f>IF(L41&gt;0,VLOOKUP($C41,数据1!$B:$N,11,FALSE),0)</f>
        <v>0.18</v>
      </c>
      <c r="L41" s="39">
        <v>0.2</v>
      </c>
      <c r="M41" s="36">
        <f t="shared" si="10"/>
        <v>0.036</v>
      </c>
      <c r="N41" s="35">
        <f>IF(O41&gt;0,VLOOKUP($C41,数据1!$B:$N,11,FALSE),0)</f>
        <v>0.18</v>
      </c>
      <c r="O41" s="39">
        <v>0.2</v>
      </c>
      <c r="P41" s="36">
        <f t="shared" si="11"/>
        <v>0.036</v>
      </c>
      <c r="Q41" s="35">
        <f>IF(R41&gt;0,VLOOKUP($C41,数据1!$B:$N,11,FALSE),0)</f>
        <v>0.18</v>
      </c>
      <c r="R41" s="39">
        <v>0.2</v>
      </c>
      <c r="S41" s="36">
        <f t="shared" si="12"/>
        <v>0.036</v>
      </c>
    </row>
    <row r="42" spans="2:19">
      <c r="B42" s="38"/>
      <c r="C42" s="33" t="s">
        <v>33</v>
      </c>
      <c r="D42" s="34" t="str">
        <f>VLOOKUP(C42,数据1!B:I,3,FALSE)</f>
        <v>架空线</v>
      </c>
      <c r="E42" s="35">
        <f>IF(F42&gt;0,VLOOKUP($C42,数据1!$B:$N,11,FALSE),0)</f>
        <v>0</v>
      </c>
      <c r="F42" s="33">
        <v>0</v>
      </c>
      <c r="G42" s="36">
        <f t="shared" si="8"/>
        <v>0</v>
      </c>
      <c r="H42" s="35">
        <f>IF(I42&gt;0,VLOOKUP($C42,数据1!$B:$N,11,FALSE),0)</f>
        <v>0</v>
      </c>
      <c r="I42" s="33">
        <v>0</v>
      </c>
      <c r="J42" s="36">
        <f t="shared" si="9"/>
        <v>0</v>
      </c>
      <c r="K42" s="35">
        <f>IF(L42&gt;0,VLOOKUP($C42,数据1!$B:$N,11,FALSE),0)</f>
        <v>0.06</v>
      </c>
      <c r="L42" s="39">
        <v>7</v>
      </c>
      <c r="M42" s="36">
        <f t="shared" si="10"/>
        <v>0.42</v>
      </c>
      <c r="N42" s="35">
        <f>IF(O42&gt;0,VLOOKUP($C42,数据1!$B:$N,11,FALSE),0)</f>
        <v>0.06</v>
      </c>
      <c r="O42" s="39">
        <v>7</v>
      </c>
      <c r="P42" s="36">
        <f t="shared" si="11"/>
        <v>0.42</v>
      </c>
      <c r="Q42" s="35">
        <f>IF(R42&gt;0,VLOOKUP($C42,数据1!$B:$N,11,FALSE),0)</f>
        <v>0.06</v>
      </c>
      <c r="R42" s="39">
        <v>7</v>
      </c>
      <c r="S42" s="36">
        <f t="shared" si="12"/>
        <v>0.42</v>
      </c>
    </row>
    <row r="43" spans="2:19">
      <c r="B43" s="38"/>
      <c r="C43" s="33" t="s">
        <v>34</v>
      </c>
      <c r="D43" s="34" t="str">
        <f>VLOOKUP(C43,数据1!B:I,3,FALSE)</f>
        <v>架空线</v>
      </c>
      <c r="E43" s="35">
        <f>IF(F43&gt;0,VLOOKUP($C43,数据1!$B:$N,11,FALSE),0)</f>
        <v>0</v>
      </c>
      <c r="F43" s="33">
        <v>0</v>
      </c>
      <c r="G43" s="36">
        <f t="shared" si="8"/>
        <v>0</v>
      </c>
      <c r="H43" s="35">
        <f>IF(I43&gt;0,VLOOKUP($C43,数据1!$B:$N,11,FALSE),0)</f>
        <v>0</v>
      </c>
      <c r="I43" s="33">
        <v>0</v>
      </c>
      <c r="J43" s="36">
        <f t="shared" si="9"/>
        <v>0</v>
      </c>
      <c r="K43" s="35">
        <f>IF(L43&gt;0,VLOOKUP($C43,数据1!$B:$N,11,FALSE),0)</f>
        <v>0.12</v>
      </c>
      <c r="L43" s="39">
        <v>7</v>
      </c>
      <c r="M43" s="36">
        <f t="shared" si="10"/>
        <v>0.84</v>
      </c>
      <c r="N43" s="35">
        <f>IF(O43&gt;0,VLOOKUP($C43,数据1!$B:$N,11,FALSE),0)</f>
        <v>0.12</v>
      </c>
      <c r="O43" s="39">
        <v>7</v>
      </c>
      <c r="P43" s="36">
        <f t="shared" si="11"/>
        <v>0.84</v>
      </c>
      <c r="Q43" s="35">
        <f>IF(R43&gt;0,VLOOKUP($C43,数据1!$B:$N,11,FALSE),0)</f>
        <v>0.12</v>
      </c>
      <c r="R43" s="39">
        <v>7</v>
      </c>
      <c r="S43" s="36">
        <f t="shared" si="12"/>
        <v>0.84</v>
      </c>
    </row>
    <row r="44" spans="2:19">
      <c r="B44" s="38"/>
      <c r="C44" s="33" t="s">
        <v>36</v>
      </c>
      <c r="D44" s="34" t="str">
        <f>VLOOKUP(C44,数据1!B:I,3,FALSE)</f>
        <v>架空线</v>
      </c>
      <c r="E44" s="35">
        <f>IF(F44&gt;0,VLOOKUP($C44,数据1!$B:$N,11,FALSE),0)</f>
        <v>0</v>
      </c>
      <c r="F44" s="33">
        <v>0</v>
      </c>
      <c r="G44" s="36">
        <f t="shared" si="8"/>
        <v>0</v>
      </c>
      <c r="H44" s="35">
        <f>IF(I44&gt;0,VLOOKUP($C44,数据1!$B:$N,11,FALSE),0)</f>
        <v>0</v>
      </c>
      <c r="I44" s="33">
        <v>0</v>
      </c>
      <c r="J44" s="36">
        <f t="shared" si="9"/>
        <v>0</v>
      </c>
      <c r="K44" s="35">
        <f>IF(L44&gt;0,VLOOKUP($C44,数据1!$B:$N,11,FALSE),0)</f>
        <v>0.06</v>
      </c>
      <c r="L44" s="39">
        <v>7</v>
      </c>
      <c r="M44" s="36">
        <f t="shared" si="10"/>
        <v>0.42</v>
      </c>
      <c r="N44" s="35">
        <f>IF(O44&gt;0,VLOOKUP($C44,数据1!$B:$N,11,FALSE),0)</f>
        <v>0.06</v>
      </c>
      <c r="O44" s="39">
        <v>7</v>
      </c>
      <c r="P44" s="36">
        <f t="shared" si="11"/>
        <v>0.42</v>
      </c>
      <c r="Q44" s="35">
        <f>IF(R44&gt;0,VLOOKUP($C44,数据1!$B:$N,11,FALSE),0)</f>
        <v>0</v>
      </c>
      <c r="R44" s="39">
        <v>0</v>
      </c>
      <c r="S44" s="36">
        <f t="shared" si="12"/>
        <v>0</v>
      </c>
    </row>
    <row r="45" spans="2:19">
      <c r="B45" s="38"/>
      <c r="C45" s="33" t="s">
        <v>38</v>
      </c>
      <c r="D45" s="34" t="str">
        <f>VLOOKUP(C45,数据1!B:I,3,FALSE)</f>
        <v>电缆</v>
      </c>
      <c r="E45" s="35">
        <f>IF(F45&gt;0,VLOOKUP($C45,数据1!$B:$N,11,FALSE),0)</f>
        <v>0.06</v>
      </c>
      <c r="F45" s="33">
        <v>7</v>
      </c>
      <c r="G45" s="36">
        <f t="shared" si="8"/>
        <v>0.42</v>
      </c>
      <c r="H45" s="35">
        <f>IF(I45&gt;0,VLOOKUP($C45,数据1!$B:$N,11,FALSE),0)</f>
        <v>0</v>
      </c>
      <c r="I45" s="33">
        <v>0</v>
      </c>
      <c r="J45" s="36">
        <f t="shared" si="9"/>
        <v>0</v>
      </c>
      <c r="K45" s="35">
        <f>IF(L45&gt;0,VLOOKUP($C45,数据1!$B:$N,11,FALSE),0)</f>
        <v>0</v>
      </c>
      <c r="L45" s="39">
        <v>0</v>
      </c>
      <c r="M45" s="36">
        <f t="shared" si="10"/>
        <v>0</v>
      </c>
      <c r="N45" s="35">
        <f>IF(O45&gt;0,VLOOKUP($C45,数据1!$B:$N,11,FALSE),0)</f>
        <v>0</v>
      </c>
      <c r="O45" s="39">
        <v>0</v>
      </c>
      <c r="P45" s="36">
        <f t="shared" si="11"/>
        <v>0</v>
      </c>
      <c r="Q45" s="35">
        <f>IF(R45&gt;0,VLOOKUP($C45,数据1!$B:$N,11,FALSE),0)</f>
        <v>0</v>
      </c>
      <c r="R45" s="39">
        <v>0</v>
      </c>
      <c r="S45" s="36">
        <f t="shared" si="12"/>
        <v>0</v>
      </c>
    </row>
    <row r="46" spans="2:19">
      <c r="B46" s="38"/>
      <c r="C46" s="33" t="s">
        <v>39</v>
      </c>
      <c r="D46" s="34" t="str">
        <f>VLOOKUP(C46,数据1!B:I,3,FALSE)</f>
        <v>架空线</v>
      </c>
      <c r="E46" s="35">
        <f>IF(F46&gt;0,VLOOKUP($C46,数据1!$B:$N,11,FALSE),0)</f>
        <v>0</v>
      </c>
      <c r="F46" s="33">
        <v>0</v>
      </c>
      <c r="G46" s="36">
        <f t="shared" si="8"/>
        <v>0</v>
      </c>
      <c r="H46" s="35">
        <f>IF(I46&gt;0,VLOOKUP($C46,数据1!$B:$N,11,FALSE),0)</f>
        <v>0.09</v>
      </c>
      <c r="I46" s="33">
        <v>7</v>
      </c>
      <c r="J46" s="36">
        <f t="shared" si="9"/>
        <v>0.63</v>
      </c>
      <c r="K46" s="35">
        <f>IF(L46&gt;0,VLOOKUP($C46,数据1!$B:$N,11,FALSE),0)</f>
        <v>0.09</v>
      </c>
      <c r="L46" s="39">
        <v>0.2</v>
      </c>
      <c r="M46" s="36">
        <f t="shared" si="10"/>
        <v>0.018</v>
      </c>
      <c r="N46" s="35">
        <f>IF(O46&gt;0,VLOOKUP($C46,数据1!$B:$N,11,FALSE),0)</f>
        <v>0.09</v>
      </c>
      <c r="O46" s="39">
        <v>0.2</v>
      </c>
      <c r="P46" s="36">
        <f t="shared" si="11"/>
        <v>0.018</v>
      </c>
      <c r="Q46" s="35">
        <f>IF(R46&gt;0,VLOOKUP($C46,数据1!$B:$N,11,FALSE),0)</f>
        <v>0.09</v>
      </c>
      <c r="R46" s="39">
        <v>0.2</v>
      </c>
      <c r="S46" s="36">
        <f t="shared" si="12"/>
        <v>0.018</v>
      </c>
    </row>
    <row r="47" spans="2:19">
      <c r="B47" s="38"/>
      <c r="C47" s="33" t="s">
        <v>40</v>
      </c>
      <c r="D47" s="34" t="str">
        <f>VLOOKUP(C47,数据1!B:I,3,FALSE)</f>
        <v>架空线</v>
      </c>
      <c r="E47" s="35">
        <f>IF(F47&gt;0,VLOOKUP($C47,数据1!$B:$N,11,FALSE),0)</f>
        <v>0</v>
      </c>
      <c r="F47" s="33">
        <v>0</v>
      </c>
      <c r="G47" s="36">
        <f t="shared" si="8"/>
        <v>0</v>
      </c>
      <c r="H47" s="35">
        <f>IF(I47&gt;0,VLOOKUP($C47,数据1!$B:$N,11,FALSE),0)</f>
        <v>0</v>
      </c>
      <c r="I47" s="33">
        <v>0</v>
      </c>
      <c r="J47" s="36">
        <f t="shared" si="9"/>
        <v>0</v>
      </c>
      <c r="K47" s="35">
        <f>IF(L47&gt;0,VLOOKUP($C47,数据1!$B:$N,11,FALSE),0)</f>
        <v>0.09</v>
      </c>
      <c r="L47" s="39">
        <v>7</v>
      </c>
      <c r="M47" s="36">
        <f t="shared" si="10"/>
        <v>0.63</v>
      </c>
      <c r="N47" s="35">
        <f>IF(O47&gt;0,VLOOKUP($C47,数据1!$B:$N,11,FALSE),0)</f>
        <v>0.09</v>
      </c>
      <c r="O47" s="39">
        <v>0.2</v>
      </c>
      <c r="P47" s="36">
        <f t="shared" si="11"/>
        <v>0.018</v>
      </c>
      <c r="Q47" s="35">
        <f>IF(R47&gt;0,VLOOKUP($C47,数据1!$B:$N,11,FALSE),0)</f>
        <v>0</v>
      </c>
      <c r="R47" s="39">
        <v>0</v>
      </c>
      <c r="S47" s="36">
        <f t="shared" si="12"/>
        <v>0</v>
      </c>
    </row>
    <row r="48" spans="2:19">
      <c r="B48" s="38"/>
      <c r="C48" s="33" t="s">
        <v>41</v>
      </c>
      <c r="D48" s="34" t="str">
        <f>VLOOKUP(C48,数据1!B:I,3,FALSE)</f>
        <v>架空线</v>
      </c>
      <c r="E48" s="35">
        <f>IF(F48&gt;0,VLOOKUP($C48,数据1!$B:$N,11,FALSE),0)</f>
        <v>0</v>
      </c>
      <c r="F48" s="33">
        <v>0</v>
      </c>
      <c r="G48" s="36">
        <f t="shared" si="8"/>
        <v>0</v>
      </c>
      <c r="H48" s="35">
        <f>IF(I48&gt;0,VLOOKUP($C48,数据1!$B:$N,11,FALSE),0)</f>
        <v>0</v>
      </c>
      <c r="I48" s="33">
        <v>0</v>
      </c>
      <c r="J48" s="36">
        <f t="shared" si="9"/>
        <v>0</v>
      </c>
      <c r="K48" s="35">
        <f>IF(L48&gt;0,VLOOKUP($C48,数据1!$B:$N,11,FALSE),0)</f>
        <v>0.03</v>
      </c>
      <c r="L48" s="39">
        <v>7</v>
      </c>
      <c r="M48" s="36">
        <f t="shared" si="10"/>
        <v>0.21</v>
      </c>
      <c r="N48" s="35">
        <f>IF(O48&gt;0,VLOOKUP($C48,数据1!$B:$N,11,FALSE),0)</f>
        <v>0.03</v>
      </c>
      <c r="O48" s="39">
        <v>7</v>
      </c>
      <c r="P48" s="36">
        <f t="shared" si="11"/>
        <v>0.21</v>
      </c>
      <c r="Q48" s="35">
        <f>IF(R48&gt;0,VLOOKUP($C48,数据1!$B:$N,11,FALSE),0)</f>
        <v>0</v>
      </c>
      <c r="R48" s="39">
        <v>0</v>
      </c>
      <c r="S48" s="36">
        <f t="shared" si="12"/>
        <v>0</v>
      </c>
    </row>
    <row r="49" spans="2:19">
      <c r="B49" s="40"/>
      <c r="C49" s="33" t="s">
        <v>42</v>
      </c>
      <c r="D49" s="34" t="str">
        <f>VLOOKUP(C49,数据1!B:I,3,FALSE)</f>
        <v>架空线</v>
      </c>
      <c r="E49" s="35">
        <f>IF(F49&gt;0,VLOOKUP($C49,数据1!$B:$N,11,FALSE),0)</f>
        <v>0</v>
      </c>
      <c r="F49" s="33">
        <v>0</v>
      </c>
      <c r="G49" s="36">
        <f t="shared" si="8"/>
        <v>0</v>
      </c>
      <c r="H49" s="35">
        <f>IF(I49&gt;0,VLOOKUP($C49,数据1!$B:$N,11,FALSE),0)</f>
        <v>0</v>
      </c>
      <c r="I49" s="33">
        <v>0</v>
      </c>
      <c r="J49" s="36">
        <f t="shared" si="9"/>
        <v>0</v>
      </c>
      <c r="K49" s="35">
        <f>IF(L49&gt;0,VLOOKUP($C49,数据1!$B:$N,11,FALSE),0)</f>
        <v>0.06</v>
      </c>
      <c r="L49" s="39">
        <v>0.2</v>
      </c>
      <c r="M49" s="36">
        <f t="shared" si="10"/>
        <v>0.012</v>
      </c>
      <c r="N49" s="35">
        <f>IF(O49&gt;0,VLOOKUP($C49,数据1!$B:$N,11,FALSE),0)</f>
        <v>0.06</v>
      </c>
      <c r="O49" s="39">
        <v>0.2</v>
      </c>
      <c r="P49" s="36">
        <f t="shared" si="11"/>
        <v>0.012</v>
      </c>
      <c r="Q49" s="35">
        <f>IF(R49&gt;0,VLOOKUP($C49,数据1!$B:$N,11,FALSE),0)</f>
        <v>0.06</v>
      </c>
      <c r="R49" s="39">
        <v>7</v>
      </c>
      <c r="S49" s="36">
        <f t="shared" si="12"/>
        <v>0.42</v>
      </c>
    </row>
    <row r="50" ht="14.25" spans="2:19">
      <c r="B50" s="48" t="s">
        <v>92</v>
      </c>
      <c r="C50" s="42" t="s">
        <v>90</v>
      </c>
      <c r="D50" s="43"/>
      <c r="E50" s="44">
        <f t="shared" ref="E50:H50" si="13">SUM(E38:E49)</f>
        <v>0.21</v>
      </c>
      <c r="F50" s="45">
        <f>G50/E50</f>
        <v>2.14285714285714</v>
      </c>
      <c r="G50" s="46">
        <f t="shared" si="13"/>
        <v>0.45</v>
      </c>
      <c r="H50" s="44">
        <f t="shared" si="13"/>
        <v>0.6</v>
      </c>
      <c r="I50" s="45">
        <f>J50/H50</f>
        <v>3.26</v>
      </c>
      <c r="J50" s="46">
        <f t="shared" ref="J50:N50" si="14">SUM(J38:J49)</f>
        <v>1.956</v>
      </c>
      <c r="K50" s="44">
        <f t="shared" si="14"/>
        <v>1.02</v>
      </c>
      <c r="L50" s="45">
        <f>M50/K50</f>
        <v>2.6</v>
      </c>
      <c r="M50" s="46">
        <f t="shared" si="14"/>
        <v>2.652</v>
      </c>
      <c r="N50" s="44">
        <f t="shared" si="14"/>
        <v>1.02</v>
      </c>
      <c r="O50" s="45">
        <f>P50/N50</f>
        <v>2</v>
      </c>
      <c r="P50" s="46">
        <f t="shared" ref="P50:S50" si="15">SUM(P38:P49)</f>
        <v>2.04</v>
      </c>
      <c r="Q50" s="44">
        <f t="shared" si="15"/>
        <v>0.84</v>
      </c>
      <c r="R50" s="45">
        <f>S50/Q50</f>
        <v>2.14285714285714</v>
      </c>
      <c r="S50" s="46">
        <f t="shared" si="15"/>
        <v>1.8</v>
      </c>
    </row>
    <row r="51" ht="14.25" spans="2:19">
      <c r="B51" s="49" t="s">
        <v>93</v>
      </c>
      <c r="C51" s="50" t="s">
        <v>94</v>
      </c>
      <c r="D51" s="51"/>
      <c r="E51" s="52">
        <f t="shared" ref="E51:H51" si="16">E37+E50</f>
        <v>0.23</v>
      </c>
      <c r="F51" s="53">
        <f>G51/E51</f>
        <v>2.15869565217391</v>
      </c>
      <c r="G51" s="54">
        <f t="shared" si="16"/>
        <v>0.4965</v>
      </c>
      <c r="H51" s="52">
        <f t="shared" si="16"/>
        <v>0.6585</v>
      </c>
      <c r="I51" s="53">
        <f>J51/H51</f>
        <v>3.1255125284738</v>
      </c>
      <c r="J51" s="54">
        <f t="shared" ref="J51:N51" si="17">J37+J50</f>
        <v>2.05815</v>
      </c>
      <c r="K51" s="52">
        <f t="shared" si="17"/>
        <v>1.094</v>
      </c>
      <c r="L51" s="53">
        <f>M51/K51</f>
        <v>2.547760511883</v>
      </c>
      <c r="M51" s="54">
        <f t="shared" si="17"/>
        <v>2.78725</v>
      </c>
      <c r="N51" s="52">
        <f t="shared" si="17"/>
        <v>1.094</v>
      </c>
      <c r="O51" s="53">
        <f>P51/N51</f>
        <v>1.98418647166362</v>
      </c>
      <c r="P51" s="54">
        <f t="shared" ref="P51:S51" si="18">P37+P50</f>
        <v>2.1707</v>
      </c>
      <c r="Q51" s="52">
        <f t="shared" si="18"/>
        <v>0.8985</v>
      </c>
      <c r="R51" s="53">
        <f>S51/Q51</f>
        <v>2.12186978297162</v>
      </c>
      <c r="S51" s="54">
        <f t="shared" si="18"/>
        <v>1.9065</v>
      </c>
    </row>
    <row r="52" spans="3:19">
      <c r="C52" s="55" t="s">
        <v>95</v>
      </c>
      <c r="G52" s="56">
        <f>G37/G51</f>
        <v>0.0936555891238671</v>
      </c>
      <c r="J52" s="56">
        <f>J37/J51</f>
        <v>0.0496319510239778</v>
      </c>
      <c r="M52" s="56">
        <f>M37/M51</f>
        <v>0.048524531348103</v>
      </c>
      <c r="P52" s="56">
        <f>P37/P51</f>
        <v>0.0602109918459483</v>
      </c>
      <c r="S52" s="56">
        <f>S37/S51</f>
        <v>0.0558615263571991</v>
      </c>
    </row>
    <row r="53" spans="3:19">
      <c r="C53" s="55" t="s">
        <v>96</v>
      </c>
      <c r="G53" s="56">
        <f>G50/G51</f>
        <v>0.906344410876133</v>
      </c>
      <c r="J53" s="56">
        <f>J50/J51</f>
        <v>0.950368048976022</v>
      </c>
      <c r="M53" s="56">
        <f>M50/M51</f>
        <v>0.951475468651897</v>
      </c>
      <c r="P53" s="56">
        <f>P50/P51</f>
        <v>0.939789008154052</v>
      </c>
      <c r="S53" s="56">
        <f>S50/S51</f>
        <v>0.944138473642801</v>
      </c>
    </row>
  </sheetData>
  <mergeCells count="11">
    <mergeCell ref="A1:H1"/>
    <mergeCell ref="E3:G3"/>
    <mergeCell ref="H3:J3"/>
    <mergeCell ref="K3:M3"/>
    <mergeCell ref="N3:P3"/>
    <mergeCell ref="Q3:S3"/>
    <mergeCell ref="B6:B16"/>
    <mergeCell ref="B17:B36"/>
    <mergeCell ref="B38:B49"/>
    <mergeCell ref="D3:D5"/>
    <mergeCell ref="B3:C5"/>
  </mergeCells>
  <pageMargins left="0.699305555555556" right="0.699305555555556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2050" progId="Visio.Drawing.11" r:id="rId3">
          <objectPr defaultSize="0" r:id="rId4">
            <anchor moveWithCells="1" sizeWithCells="1">
              <from>
                <xdr:col>3</xdr:col>
                <xdr:colOff>312420</xdr:colOff>
                <xdr:row>53</xdr:row>
                <xdr:rowOff>131445</xdr:rowOff>
              </from>
              <to>
                <xdr:col>12</xdr:col>
                <xdr:colOff>401320</xdr:colOff>
                <xdr:row>67</xdr:row>
                <xdr:rowOff>15875</xdr:rowOff>
              </to>
            </anchor>
          </objectPr>
        </oleObject>
      </mc:Choice>
      <mc:Fallback>
        <oleObject shapeId="2050" progId="Visio.Drawing.11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selection activeCell="T19" sqref="T19"/>
    </sheetView>
  </sheetViews>
  <sheetFormatPr defaultColWidth="9" defaultRowHeight="13.5"/>
  <cols>
    <col min="1" max="1" width="5.89166666666667" customWidth="1"/>
    <col min="2" max="2" width="26.5583333333333" customWidth="1"/>
    <col min="3" max="3" width="36.3333333333333" customWidth="1"/>
    <col min="4" max="4" width="9.55833333333333" customWidth="1"/>
    <col min="5" max="6" width="9" hidden="1" customWidth="1"/>
    <col min="8" max="9" width="9" hidden="1" customWidth="1"/>
    <col min="10" max="10" width="9.55833333333333" customWidth="1"/>
    <col min="11" max="12" width="9" hidden="1" customWidth="1"/>
    <col min="14" max="15" width="9" hidden="1" customWidth="1"/>
  </cols>
  <sheetData>
    <row r="1" spans="4:9">
      <c r="D1" s="1" t="s">
        <v>97</v>
      </c>
      <c r="E1" s="1"/>
      <c r="F1" s="1"/>
      <c r="H1" s="1"/>
      <c r="I1" s="1"/>
    </row>
    <row r="2" spans="2:16">
      <c r="B2" t="s">
        <v>98</v>
      </c>
      <c r="C2" s="2" t="s">
        <v>99</v>
      </c>
      <c r="D2" s="2" t="s">
        <v>76</v>
      </c>
      <c r="E2" s="2"/>
      <c r="F2" s="2"/>
      <c r="G2" s="2" t="s">
        <v>77</v>
      </c>
      <c r="H2" s="2"/>
      <c r="I2" s="2"/>
      <c r="J2" s="2" t="s">
        <v>78</v>
      </c>
      <c r="K2" s="2"/>
      <c r="L2" s="2"/>
      <c r="M2" s="2" t="s">
        <v>79</v>
      </c>
      <c r="N2" s="2"/>
      <c r="O2" s="2"/>
      <c r="P2" s="2" t="s">
        <v>100</v>
      </c>
    </row>
    <row r="3" spans="1:16">
      <c r="A3" s="3" t="s">
        <v>101</v>
      </c>
      <c r="C3" s="4" t="s">
        <v>102</v>
      </c>
      <c r="D3" s="5">
        <v>1</v>
      </c>
      <c r="E3" s="5"/>
      <c r="F3" s="5"/>
      <c r="G3" s="5">
        <v>1</v>
      </c>
      <c r="H3" s="5"/>
      <c r="I3" s="5"/>
      <c r="J3" s="5">
        <v>1</v>
      </c>
      <c r="K3" s="5"/>
      <c r="L3" s="5"/>
      <c r="M3" s="5">
        <v>1</v>
      </c>
      <c r="N3" s="5"/>
      <c r="O3" s="5"/>
      <c r="P3" s="5">
        <v>1</v>
      </c>
    </row>
    <row r="4" spans="1:16">
      <c r="A4" s="3" t="s">
        <v>103</v>
      </c>
      <c r="C4" s="4" t="s">
        <v>104</v>
      </c>
      <c r="D4" s="5">
        <v>800</v>
      </c>
      <c r="E4" s="5"/>
      <c r="F4" s="5"/>
      <c r="G4" s="5">
        <v>200</v>
      </c>
      <c r="H4" s="5"/>
      <c r="I4" s="5"/>
      <c r="J4" s="5">
        <v>50</v>
      </c>
      <c r="K4" s="5"/>
      <c r="L4" s="5"/>
      <c r="M4" s="5">
        <v>100</v>
      </c>
      <c r="N4" s="5"/>
      <c r="O4" s="5"/>
      <c r="P4" s="5">
        <v>315</v>
      </c>
    </row>
    <row r="5" ht="15" spans="1:16">
      <c r="A5" s="3" t="s">
        <v>105</v>
      </c>
      <c r="B5" t="s">
        <v>106</v>
      </c>
      <c r="C5" s="4" t="s">
        <v>107</v>
      </c>
      <c r="D5" s="6">
        <f>故障后果模式分析表!E51</f>
        <v>0.23</v>
      </c>
      <c r="E5" s="6"/>
      <c r="F5" s="6"/>
      <c r="G5" s="6">
        <f>故障后果模式分析表!H51</f>
        <v>0.6585</v>
      </c>
      <c r="H5" s="6"/>
      <c r="I5" s="6"/>
      <c r="J5" s="6">
        <f>故障后果模式分析表!K51</f>
        <v>1.094</v>
      </c>
      <c r="K5" s="6"/>
      <c r="L5" s="6"/>
      <c r="M5" s="6">
        <f>故障后果模式分析表!N51</f>
        <v>1.094</v>
      </c>
      <c r="N5" s="6"/>
      <c r="O5" s="6"/>
      <c r="P5" s="6">
        <f>故障后果模式分析表!Q51</f>
        <v>0.8985</v>
      </c>
    </row>
    <row r="6" ht="15" spans="1:16">
      <c r="A6" s="3" t="s">
        <v>108</v>
      </c>
      <c r="B6" t="s">
        <v>106</v>
      </c>
      <c r="C6" s="4" t="s">
        <v>109</v>
      </c>
      <c r="D6" s="6">
        <f>故障后果模式分析表!G51</f>
        <v>0.4965</v>
      </c>
      <c r="E6" s="6"/>
      <c r="F6" s="6"/>
      <c r="G6" s="6">
        <f>故障后果模式分析表!J51</f>
        <v>2.05815</v>
      </c>
      <c r="H6" s="6"/>
      <c r="I6" s="6"/>
      <c r="J6" s="6">
        <f>故障后果模式分析表!M51</f>
        <v>2.78725</v>
      </c>
      <c r="K6" s="7"/>
      <c r="L6" s="7"/>
      <c r="M6" s="6">
        <f>故障后果模式分析表!P51</f>
        <v>2.1707</v>
      </c>
      <c r="N6" s="7"/>
      <c r="O6" s="7"/>
      <c r="P6" s="6">
        <f>故障后果模式分析表!S51</f>
        <v>1.9065</v>
      </c>
    </row>
    <row r="7" spans="1:16">
      <c r="A7" s="3" t="s">
        <v>110</v>
      </c>
      <c r="B7" s="79" t="s">
        <v>111</v>
      </c>
      <c r="C7" s="4" t="s">
        <v>112</v>
      </c>
      <c r="D7" s="7">
        <f>D9/SUM($D4:$P4)</f>
        <v>0.271126279863481</v>
      </c>
      <c r="E7" s="6"/>
      <c r="F7" s="6"/>
      <c r="G7" s="7">
        <f>G9/SUM($D4:$P4)</f>
        <v>0.280976109215017</v>
      </c>
      <c r="H7" s="6"/>
      <c r="I7" s="6"/>
      <c r="J7" s="7">
        <f>J9/SUM($D4:$P4)</f>
        <v>0.0951279863481229</v>
      </c>
      <c r="K7" s="6"/>
      <c r="L7" s="6"/>
      <c r="M7" s="7">
        <f>M9/SUM($D4:$P4)</f>
        <v>0.148170648464164</v>
      </c>
      <c r="N7" s="6"/>
      <c r="O7" s="6"/>
      <c r="P7" s="7">
        <f>P9/SUM($D4:$P4)</f>
        <v>0.409931740614334</v>
      </c>
    </row>
    <row r="8" spans="1:16">
      <c r="A8" s="3" t="s">
        <v>113</v>
      </c>
      <c r="B8" s="79" t="s">
        <v>114</v>
      </c>
      <c r="C8" s="4" t="s">
        <v>115</v>
      </c>
      <c r="D8" s="8">
        <v>0.99994</v>
      </c>
      <c r="E8" s="8"/>
      <c r="F8" s="8"/>
      <c r="G8" s="8">
        <v>0.99977</v>
      </c>
      <c r="H8" s="8"/>
      <c r="I8" s="8"/>
      <c r="J8" s="8">
        <v>0.99968</v>
      </c>
      <c r="K8" s="8"/>
      <c r="L8" s="8"/>
      <c r="M8" s="8">
        <v>0.99975</v>
      </c>
      <c r="N8" s="8"/>
      <c r="O8" s="8"/>
      <c r="P8" s="8">
        <v>0.99978</v>
      </c>
    </row>
    <row r="9" spans="1:16">
      <c r="A9" s="3" t="s">
        <v>116</v>
      </c>
      <c r="B9" s="79" t="s">
        <v>117</v>
      </c>
      <c r="C9" s="4" t="s">
        <v>118</v>
      </c>
      <c r="D9" s="6">
        <v>397.2</v>
      </c>
      <c r="E9" s="6"/>
      <c r="F9" s="6"/>
      <c r="G9" s="6">
        <v>411.63</v>
      </c>
      <c r="H9" s="6"/>
      <c r="I9" s="6"/>
      <c r="J9" s="6">
        <v>139.3625</v>
      </c>
      <c r="K9" s="6"/>
      <c r="L9" s="6"/>
      <c r="M9" s="6">
        <v>217.07</v>
      </c>
      <c r="N9" s="6"/>
      <c r="O9" s="6"/>
      <c r="P9" s="6">
        <v>600.55</v>
      </c>
    </row>
    <row r="13" spans="3:4">
      <c r="C13" s="1" t="s">
        <v>119</v>
      </c>
      <c r="D13" s="1"/>
    </row>
    <row r="14" spans="3:10">
      <c r="C14" s="2" t="s">
        <v>120</v>
      </c>
      <c r="D14" s="2" t="s">
        <v>121</v>
      </c>
      <c r="J14" s="11" t="s">
        <v>122</v>
      </c>
    </row>
    <row r="15" spans="1:10">
      <c r="A15" s="3" t="s">
        <v>123</v>
      </c>
      <c r="B15" s="79" t="s">
        <v>124</v>
      </c>
      <c r="C15" s="4" t="s">
        <v>125</v>
      </c>
      <c r="D15" s="9">
        <v>0.795</v>
      </c>
      <c r="J15">
        <f>(D5*D3+G5*G3+J5*J3+M5*M3+P5*P3)/SUM(D3:P3)</f>
        <v>0.795</v>
      </c>
    </row>
    <row r="16" spans="1:10">
      <c r="A16" s="3" t="s">
        <v>126</v>
      </c>
      <c r="B16" s="79" t="s">
        <v>127</v>
      </c>
      <c r="C16" s="4" t="s">
        <v>128</v>
      </c>
      <c r="D16" s="9">
        <v>1.88382</v>
      </c>
      <c r="J16">
        <f>(D6*D3+G6*G3+J6*J3+M6*M3+P6*P3)/SUM(D3:P3)</f>
        <v>1.88382</v>
      </c>
    </row>
    <row r="17" spans="1:10">
      <c r="A17" s="3" t="s">
        <v>129</v>
      </c>
      <c r="B17" s="79" t="s">
        <v>130</v>
      </c>
      <c r="C17" s="4" t="s">
        <v>131</v>
      </c>
      <c r="D17" s="10">
        <v>0.99978</v>
      </c>
      <c r="J17" s="12">
        <f>1-J16/8760</f>
        <v>0.999784952054795</v>
      </c>
    </row>
    <row r="18" spans="1:10">
      <c r="A18" s="3" t="s">
        <v>132</v>
      </c>
      <c r="B18" s="79" t="s">
        <v>133</v>
      </c>
      <c r="C18" s="4" t="s">
        <v>134</v>
      </c>
      <c r="D18" s="9">
        <v>1765.81</v>
      </c>
      <c r="J18">
        <f>SUM(D9:P9)</f>
        <v>1765.8125</v>
      </c>
    </row>
    <row r="19" spans="1:10">
      <c r="A19" s="3" t="s">
        <v>135</v>
      </c>
      <c r="B19" s="79" t="s">
        <v>136</v>
      </c>
      <c r="C19" s="4" t="s">
        <v>137</v>
      </c>
      <c r="D19" s="9">
        <v>353.162</v>
      </c>
      <c r="J19">
        <f>J18/SUM(D3:P3)</f>
        <v>353.1625</v>
      </c>
    </row>
  </sheetData>
  <mergeCells count="1">
    <mergeCell ref="C13:D13"/>
  </mergeCells>
  <pageMargins left="0.707638888888889" right="0.707638888888889" top="0.747916666666667" bottom="0.747916666666667" header="0.313888888888889" footer="0.313888888888889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设施故障率</vt:lpstr>
      <vt:lpstr>算例图</vt:lpstr>
      <vt:lpstr>数据1</vt:lpstr>
      <vt:lpstr>数据2</vt:lpstr>
      <vt:lpstr>故障后果模式分析表</vt:lpstr>
      <vt:lpstr>可靠性指标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黄庆祥</dc:creator>
  <cp:lastModifiedBy>qinzhihang</cp:lastModifiedBy>
  <dcterms:created xsi:type="dcterms:W3CDTF">2015-11-12T00:59:00Z</dcterms:created>
  <dcterms:modified xsi:type="dcterms:W3CDTF">2018-12-07T06:30:51Z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